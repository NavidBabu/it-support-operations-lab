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1a36b703a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e0786e773354327"/>
    <x:sheet xmlns:r="http://schemas.openxmlformats.org/officeDocument/2006/relationships" name="Support Tickets" sheetId="2" r:id="Rfa043b5f9fc94516"/>
    <x:sheet xmlns:r="http://schemas.openxmlformats.org/officeDocument/2006/relationships" name="Asset Inventory" sheetId="3" r:id="Rbfcd8859ea0a473e"/>
    <x:sheet xmlns:r="http://schemas.openxmlformats.org/officeDocument/2006/relationships" name="Deployment Tracker" sheetId="4" r:id="Rad55d00562f348e4"/>
    <x:sheet xmlns:r="http://schemas.openxmlformats.org/officeDocument/2006/relationships" name="Equipment Audit" sheetId="5" r:id="Re00167cd22f14b94"/>
    <x:sheet xmlns:r="http://schemas.openxmlformats.org/officeDocument/2006/relationships" name="Change Log" sheetId="6" r:id="Rdb38ebd46d9d4bfc"/>
    <x:sheet xmlns:r="http://schemas.openxmlformats.org/officeDocument/2006/relationships" name="Knowledge Base" sheetId="7" r:id="R5d2aa77a2cf34130"/>
    <x:sheet xmlns:r="http://schemas.openxmlformats.org/officeDocument/2006/relationships" name="Dashboard" sheetId="8" r:id="R7914cf7a471d48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0"/>
    <x:numFmt numFmtId="202" formatCode="yyyy-mm-dd"/>
    <x:numFmt numFmtId="203" formatCode="0.0%"/>
    <x:numFmt numFmtId="204" formatCode="0.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3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/>
    </x:xf>
    <x:xf numFmtId="201" fontId="4" fillId="0" borderId="1" xfId="0" applyNumberFormat="1" applyFont="1" applyFill="1" applyBorder="1" applyAlignment="1">
      <x:alignment horizontal="center"/>
    </x:xf>
    <x:xf numFmtId="203" fontId="4" fillId="0" borderId="0" xfId="0" applyNumberFormat="1" applyFont="1" applyFill="1" applyBorder="1" applyAlignment="1">
      <x:alignment horizontal="center"/>
    </x:xf>
    <x:xf numFmtId="203" fontId="4" fillId="0" borderId="1" xfId="0" applyNumberFormat="1" applyFont="1" applyFill="1" applyBorder="1" applyAlignment="1">
      <x:alignment horizontal="center"/>
    </x:xf>
    <x:xf numFmtId="204" fontId="4" fillId="0" borderId="0" xfId="0" applyNumberFormat="1" applyFont="1" applyFill="1" applyBorder="1" applyAlignment="1">
      <x:alignment horizontal="center"/>
    </x:xf>
    <x:xf numFmtId="204" fontId="4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horizontal="center" vertical="center"/>
    </x:xf>
    <x:xf numFmtId="203" fontId="4" fillId="0" borderId="0" xfId="0" applyNumberFormat="1" applyFont="1" applyFill="1" applyBorder="1" applyAlignment="1">
      <x:alignment horizontal="center" vertical="center"/>
    </x:xf>
    <x:xf numFmtId="204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1">
    <x:dxf>
      <x:font>
        <x:b/>
        <x:color rgb="FFB91C1C"/>
      </x:font>
      <x:fill>
        <x:patternFill patternType="solid">
          <x:bgColor rgb="FFFDE9E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DE9E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DE9E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aa744d1e84349" /><Relationship Type="http://schemas.openxmlformats.org/officeDocument/2006/relationships/theme" Target="/xl/theme/theme1.xml" Id="R204b84d7cc8f4fd9" /><Relationship Type="http://schemas.openxmlformats.org/officeDocument/2006/relationships/sharedStrings" Target="/xl/sharedStrings.xml" Id="Rf4cc4eb5d3d84995" /><Relationship Type="http://schemas.openxmlformats.org/officeDocument/2006/relationships/worksheet" Target="/xl/worksheets/sheet1.xml" Id="R8e0786e773354327" /><Relationship Type="http://schemas.openxmlformats.org/officeDocument/2006/relationships/worksheet" Target="/xl/worksheets/sheet2.xml" Id="Rfa043b5f9fc94516" /><Relationship Type="http://schemas.openxmlformats.org/officeDocument/2006/relationships/worksheet" Target="/xl/worksheets/sheet3.xml" Id="Rbfcd8859ea0a473e" /><Relationship Type="http://schemas.openxmlformats.org/officeDocument/2006/relationships/worksheet" Target="/xl/worksheets/sheet4.xml" Id="Rad55d00562f348e4" /><Relationship Type="http://schemas.openxmlformats.org/officeDocument/2006/relationships/worksheet" Target="/xl/worksheets/sheet5.xml" Id="Re00167cd22f14b94" /><Relationship Type="http://schemas.openxmlformats.org/officeDocument/2006/relationships/worksheet" Target="/xl/worksheets/sheet6.xml" Id="Rdb38ebd46d9d4bfc" /><Relationship Type="http://schemas.openxmlformats.org/officeDocument/2006/relationships/worksheet" Target="/xl/worksheets/sheet7.xml" Id="R5d2aa77a2cf34130" /><Relationship Type="http://schemas.openxmlformats.org/officeDocument/2006/relationships/worksheet" Target="/xl/worksheets/sheet8.xml" Id="R7914cf7a471d48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b42054d77494ffb" /><Relationship Type="http://schemas.openxmlformats.org/officeDocument/2006/relationships/chart" Target="/xl/drawings/charts/chart2.xml" Id="R0c983f8b86e945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Tickets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'Dashboard'!$A$11:$A$18</c:f>
              <c:strCache>
                <c:ptCount val="0"/>
              </c:strCache>
            </c:strRef>
          </c:cat>
          <c:val>
            <c:numRef>
              <c:f>'Dashboard'!$B$11:$B$18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Tickets by Location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Tickets</c:v>
          </c:tx>
          <c:cat>
            <c:strRef>
              <c:f>'Dashboard'!$E$11:$E$14</c:f>
              <c:strCache>
                <c:ptCount val="0"/>
              </c:strCache>
            </c:strRef>
          </c:cat>
          <c:val>
            <c:numRef>
              <c:f>'Dashboard'!$F$11:$F$14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42054d77494ffb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983f8b86e9450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74c9776637c24b3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5" t="str">
        <x:v>IT Support Operations Lab</x:v>
      </x:c>
      <x:c r="B1" s="5"/>
      <x:c r="C1" s="5"/>
      <x:c r="D1" s="5"/>
      <x:c r="E1" s="5"/>
      <x:c r="F1" s="5"/>
      <x:c r="G1" s="5"/>
      <x:c r="H1" s="5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9" t="str">
        <x:v>Purpose</x:v>
      </x:c>
      <x:c r="B3" s="49"/>
      <x:c r="C3" s="49"/>
      <x:c r="D3" s="49"/>
      <x:c r="E3" s="49"/>
      <x:c r="F3" s="49"/>
      <x:c r="G3" s="49"/>
      <x:c r="H3" s="49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 ht="28" customHeight="1">
      <x:c r="A4" s="50" t="str">
        <x:v>Simulated portfolio project demonstrating Tier 1/2 IT support, hardware deployment, support-call logging, equipment audits, process documentation, and basic systems administration workflows.</x:v>
      </x:c>
      <x:c r="B4" s="50"/>
      <x:c r="C4" s="50"/>
      <x:c r="D4" s="50"/>
      <x:c r="E4" s="50"/>
      <x:c r="F4" s="50"/>
      <x:c r="G4" s="50"/>
      <x:c r="H4" s="50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 ht="28" customHeight="1">
      <x:c r="A5" s="50" t="str"/>
      <x:c r="B5" s="50"/>
      <x:c r="C5" s="50"/>
      <x:c r="D5" s="50"/>
      <x:c r="E5" s="50"/>
      <x:c r="F5" s="50"/>
      <x:c r="G5" s="50"/>
      <x:c r="H5" s="50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 ht="28" customHeight="1">
      <x:c r="A6" s="50" t="str">
        <x:v>All users, tickets, asset tags, serial numbers, locations, and change records are simulated. No employer or customer data is used.</x:v>
      </x:c>
      <x:c r="B6" s="50"/>
      <x:c r="C6" s="50"/>
      <x:c r="D6" s="50"/>
      <x:c r="E6" s="50"/>
      <x:c r="F6" s="50"/>
      <x:c r="G6" s="50"/>
      <x:c r="H6" s="50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 ht="28" customHeight="1">
      <x:c r="A7" s="50" t="str"/>
      <x:c r="B7" s="50"/>
      <x:c r="C7" s="50"/>
      <x:c r="D7" s="50"/>
      <x:c r="E7" s="50"/>
      <x:c r="F7" s="50"/>
      <x:c r="G7" s="50"/>
      <x:c r="H7" s="50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 ht="28" customHeight="1">
      <x:c r="A8" s="50" t="str">
        <x:v>Workbook sections:</x:v>
      </x:c>
      <x:c r="B8" s="50"/>
      <x:c r="C8" s="50"/>
      <x:c r="D8" s="50"/>
      <x:c r="E8" s="50"/>
      <x:c r="F8" s="50"/>
      <x:c r="G8" s="50"/>
      <x:c r="H8" s="50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 ht="28" customHeight="1">
      <x:c r="A9" s="50" t="str">
        <x:v>1. Dashboard — support and hardware-operation KPIs.</x:v>
      </x:c>
      <x:c r="B9" s="50"/>
      <x:c r="C9" s="50"/>
      <x:c r="D9" s="50"/>
      <x:c r="E9" s="50"/>
      <x:c r="F9" s="50"/>
      <x:c r="G9" s="50"/>
      <x:c r="H9" s="50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 ht="28" customHeight="1">
      <x:c r="A10" s="50" t="str">
        <x:v>2. Support Tickets — simulated phone/in-person IT support requests.</x:v>
      </x:c>
      <x:c r="B10" s="50"/>
      <x:c r="C10" s="50"/>
      <x:c r="D10" s="50"/>
      <x:c r="E10" s="50"/>
      <x:c r="F10" s="50"/>
      <x:c r="G10" s="50"/>
      <x:c r="H10" s="50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 ht="28" customHeight="1">
      <x:c r="A11" s="50" t="str">
        <x:v>3. Asset Inventory — computers, monitors, docks, and tablets across office/site locations.</x:v>
      </x:c>
      <x:c r="B11" s="50"/>
      <x:c r="C11" s="50"/>
      <x:c r="D11" s="50"/>
      <x:c r="E11" s="50"/>
      <x:c r="F11" s="50"/>
      <x:c r="G11" s="50"/>
      <x:c r="H11" s="50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 ht="28" customHeight="1">
      <x:c r="A12" s="50" t="str">
        <x:v>4. Deployment Tracker — device preparation, software setup, user handoff, and validation.</x:v>
      </x:c>
      <x:c r="B12" s="50"/>
      <x:c r="C12" s="50"/>
      <x:c r="D12" s="50"/>
      <x:c r="E12" s="50"/>
      <x:c r="F12" s="50"/>
      <x:c r="G12" s="50"/>
      <x:c r="H12" s="50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 ht="28" customHeight="1">
      <x:c r="A13" s="50" t="str">
        <x:v>5. Equipment Audit — expected-versus-observed equipment audit with variance flags.</x:v>
      </x:c>
      <x:c r="B13" s="50"/>
      <x:c r="C13" s="50"/>
      <x:c r="D13" s="50"/>
      <x:c r="E13" s="50"/>
      <x:c r="F13" s="50"/>
      <x:c r="G13" s="50"/>
      <x:c r="H13" s="50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 ht="28" customHeight="1">
      <x:c r="A14" s="50" t="str">
        <x:v>6. Change Log — planned system changes, communication, validation, and rollback notes.</x:v>
      </x:c>
      <x:c r="B14" s="50"/>
      <x:c r="C14" s="50"/>
      <x:c r="D14" s="50"/>
      <x:c r="E14" s="50"/>
      <x:c r="F14" s="50"/>
      <x:c r="G14" s="50"/>
      <x:c r="H14" s="50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 ht="28" customHeight="1">
      <x:c r="A15" s="50" t="str">
        <x:v>7. Knowledge Base — concise reusable fixes and process documentation.</x:v>
      </x:c>
      <x:c r="B15" s="50"/>
      <x:c r="C15" s="50"/>
      <x:c r="D15" s="50"/>
      <x:c r="E15" s="50"/>
      <x:c r="F15" s="50"/>
      <x:c r="G15" s="50"/>
      <x:c r="H15" s="50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</x:sheetData>
  <x:mergeCells>
    <x:mergeCell ref="A1:H1"/>
    <x:mergeCell ref="A3:H3"/>
    <x:mergeCell ref="A4:H4"/>
    <x:mergeCell ref="A5:H5"/>
    <x:mergeCell ref="A6:H6"/>
    <x:mergeCell ref="A7:H7"/>
    <x:mergeCell ref="A8:H8"/>
    <x:mergeCell ref="A9:H9"/>
    <x:mergeCell ref="A10:H10"/>
    <x:mergeCell ref="A11:H11"/>
    <x:mergeCell ref="A12:H12"/>
    <x:mergeCell ref="A13:H13"/>
    <x:mergeCell ref="A14:H1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7" hidden="0" customWidth="1"/>
    <x:col min="4" max="4" width="11" hidden="0" customWidth="1"/>
    <x:col min="5" max="5" width="11" hidden="0" customWidth="1"/>
    <x:col min="6" max="6" width="11" hidden="0" customWidth="1"/>
    <x:col min="7" max="7" width="2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13" hidden="0" customWidth="1"/>
    <x:col min="13" max="13" width="16" hidden="0" customWidth="1"/>
    <x:col min="14" max="14" width="34" hidden="0" customWidth="1"/>
  </x:cols>
  <x:sheetData>
    <x:row r="1">
      <x:c r="A1" s="5" t="str">
        <x:v>Simulated IT Support Ticket 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26" t="str">
        <x:v>Ticket ID</x:v>
      </x:c>
      <x:c r="B3" s="26" t="str">
        <x:v>Opened</x:v>
      </x:c>
      <x:c r="C3" s="26" t="str">
        <x:v>Location</x:v>
      </x:c>
      <x:c r="D3" s="26" t="str">
        <x:v>Channel</x:v>
      </x:c>
      <x:c r="E3" s="26" t="str">
        <x:v>User</x:v>
      </x:c>
      <x:c r="F3" s="26" t="str">
        <x:v>Device</x:v>
      </x:c>
      <x:c r="G3" s="26" t="str">
        <x:v>Category</x:v>
      </x:c>
      <x:c r="H3" s="26" t="str">
        <x:v>Tier</x:v>
      </x:c>
      <x:c r="I3" s="26" t="str">
        <x:v>Priority</x:v>
      </x:c>
      <x:c r="J3" s="26" t="str">
        <x:v>Status</x:v>
      </x:c>
      <x:c r="K3" s="26" t="str">
        <x:v>Resolution Min</x:v>
      </x:c>
      <x:c r="L3" s="26" t="str">
        <x:v>First Contact</x:v>
      </x:c>
      <x:c r="M3" s="26" t="str">
        <x:v>Escalated To</x:v>
      </x:c>
      <x:c r="N3" s="26" t="str">
        <x:v>Resolution Summary</x:v>
      </x:c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50" t="str">
        <x:v>INC-2001</x:v>
      </x:c>
      <x:c r="B4" s="54" t="n">
        <x:v>46392.15</x:v>
      </x:c>
      <x:c r="C4" s="50" t="str">
        <x:v>Winnipeg Office</x:v>
      </x:c>
      <x:c r="D4" s="50" t="str">
        <x:v>In Person</x:v>
      </x:c>
      <x:c r="E4" s="50" t="str">
        <x:v>User-19</x:v>
      </x:c>
      <x:c r="F4" s="50" t="str">
        <x:v>WS-143</x:v>
      </x:c>
      <x:c r="G4" s="50" t="str">
        <x:v>Peripheral / Dock</x:v>
      </x:c>
      <x:c r="H4" s="50" t="str">
        <x:v>Tier 1</x:v>
      </x:c>
      <x:c r="I4" s="50" t="str">
        <x:v>P3</x:v>
      </x:c>
      <x:c r="J4" s="50" t="str">
        <x:v>Resolved</x:v>
      </x:c>
      <x:c r="K4" s="55" t="n">
        <x:v>45</x:v>
      </x:c>
      <x:c r="L4" s="50" t="str">
        <x:v>Yes</x:v>
      </x:c>
      <x:c r="M4" s="50" t="str">
        <x:v>Systems Admin</x:v>
      </x:c>
      <x:c r="N4" s="50" t="str">
        <x:v>Reconnected / replaced peripheral or dock</x:v>
      </x:c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50" t="str">
        <x:v>INC-2002</x:v>
      </x:c>
      <x:c r="B5" s="54" t="n">
        <x:v>46411.63611111111</x:v>
      </x:c>
      <x:c r="C5" s="50" t="str">
        <x:v>Winnipeg Office</x:v>
      </x:c>
      <x:c r="D5" s="50" t="str">
        <x:v>Phone</x:v>
      </x:c>
      <x:c r="E5" s="50" t="str">
        <x:v>User-23</x:v>
      </x:c>
      <x:c r="F5" s="50" t="str">
        <x:v>WS-165</x:v>
      </x:c>
      <x:c r="G5" s="50" t="str">
        <x:v>Network Connectivity</x:v>
      </x:c>
      <x:c r="H5" s="50" t="str">
        <x:v>Tier 2</x:v>
      </x:c>
      <x:c r="I5" s="50" t="str">
        <x:v>P3</x:v>
      </x:c>
      <x:c r="J5" s="50" t="str">
        <x:v>Resolved</x:v>
      </x:c>
      <x:c r="K5" s="55" t="n">
        <x:v>121</x:v>
      </x:c>
      <x:c r="L5" s="50" t="str">
        <x:v>Yes</x:v>
      </x:c>
      <x:c r="M5" s="50" t="str">
        <x:v>None</x:v>
      </x:c>
      <x:c r="N5" s="50" t="str">
        <x:v>Validated IP/DNS and restored connectivity</x:v>
      </x:c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50" t="str">
        <x:v>INC-2003</x:v>
      </x:c>
      <x:c r="B6" s="54" t="n">
        <x:v>46403.089583333334</x:v>
      </x:c>
      <x:c r="C6" s="50" t="str">
        <x:v>Winnipeg Office</x:v>
      </x:c>
      <x:c r="D6" s="50" t="str">
        <x:v>In Person</x:v>
      </x:c>
      <x:c r="E6" s="50" t="str">
        <x:v>User-24</x:v>
      </x:c>
      <x:c r="F6" s="50" t="str">
        <x:v>WS-102</x:v>
      </x:c>
      <x:c r="G6" s="50" t="str">
        <x:v>Software Install</x:v>
      </x:c>
      <x:c r="H6" s="50" t="str">
        <x:v>Tier 2</x:v>
      </x:c>
      <x:c r="I6" s="50" t="str">
        <x:v>P4</x:v>
      </x:c>
      <x:c r="J6" s="50" t="str">
        <x:v>Resolved</x:v>
      </x:c>
      <x:c r="K6" s="55" t="n">
        <x:v>176</x:v>
      </x:c>
      <x:c r="L6" s="50" t="str">
        <x:v>Yes</x:v>
      </x:c>
      <x:c r="M6" s="50" t="str">
        <x:v>Systems Admin</x:v>
      </x:c>
      <x:c r="N6" s="50" t="str">
        <x:v>Installed or repaired approved software</x:v>
      </x:c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50" t="str">
        <x:v>INC-2004</x:v>
      </x:c>
      <x:c r="B7" s="54" t="n">
        <x:v>46405.416666666664</x:v>
      </x:c>
      <x:c r="C7" s="50" t="str">
        <x:v>Project Site A</x:v>
      </x:c>
      <x:c r="D7" s="50" t="str">
        <x:v>In Person</x:v>
      </x:c>
      <x:c r="E7" s="50" t="str">
        <x:v>User-25</x:v>
      </x:c>
      <x:c r="F7" s="50" t="str">
        <x:v>WS-158</x:v>
      </x:c>
      <x:c r="G7" s="50" t="str">
        <x:v>Windows</x:v>
      </x:c>
      <x:c r="H7" s="50" t="str">
        <x:v>Tier 1</x:v>
      </x:c>
      <x:c r="I7" s="50" t="str">
        <x:v>P2</x:v>
      </x:c>
      <x:c r="J7" s="50" t="str">
        <x:v>Escalated</x:v>
      </x:c>
      <x:c r="K7" s="55" t="n">
        <x:v>33</x:v>
      </x:c>
      <x:c r="L7" s="50" t="str">
        <x:v>Yes</x:v>
      </x:c>
      <x:c r="M7" s="50" t="str">
        <x:v>Systems Admin</x:v>
      </x:c>
      <x:c r="N7" s="50" t="str">
        <x:v>Applied update / configuration fix</x:v>
      </x:c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50" t="str">
        <x:v>INC-2005</x:v>
      </x:c>
      <x:c r="B8" s="54" t="n">
        <x:v>46404.62777777778</x:v>
      </x:c>
      <x:c r="C8" s="50" t="str">
        <x:v>Project Site A</x:v>
      </x:c>
      <x:c r="D8" s="50" t="str">
        <x:v>In Person</x:v>
      </x:c>
      <x:c r="E8" s="50" t="str">
        <x:v>User-25</x:v>
      </x:c>
      <x:c r="F8" s="50" t="str">
        <x:v>WS-180</x:v>
      </x:c>
      <x:c r="G8" s="50" t="str">
        <x:v>Login / Access</x:v>
      </x:c>
      <x:c r="H8" s="50" t="str">
        <x:v>Tier 2</x:v>
      </x:c>
      <x:c r="I8" s="50" t="str">
        <x:v>P2</x:v>
      </x:c>
      <x:c r="J8" s="50" t="str">
        <x:v>Resolved</x:v>
      </x:c>
      <x:c r="K8" s="55" t="n">
        <x:v>69</x:v>
      </x:c>
      <x:c r="L8" s="50" t="str">
        <x:v>Yes</x:v>
      </x:c>
      <x:c r="M8" s="50" t="str">
        <x:v>None</x:v>
      </x:c>
      <x:c r="N8" s="50" t="str">
        <x:v>Validated account and access requirements</x:v>
      </x:c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50" t="str">
        <x:v>INC-2006</x:v>
      </x:c>
      <x:c r="B9" s="54" t="n">
        <x:v>46397.08611111111</x:v>
      </x:c>
      <x:c r="C9" s="50" t="str">
        <x:v>Winnipeg Office</x:v>
      </x:c>
      <x:c r="D9" s="50" t="str">
        <x:v>Phone</x:v>
      </x:c>
      <x:c r="E9" s="50" t="str">
        <x:v>User-24</x:v>
      </x:c>
      <x:c r="F9" s="50" t="str">
        <x:v>WS-146</x:v>
      </x:c>
      <x:c r="G9" s="50" t="str">
        <x:v>Peripheral / Dock</x:v>
      </x:c>
      <x:c r="H9" s="50" t="str">
        <x:v>Tier 2</x:v>
      </x:c>
      <x:c r="I9" s="50" t="str">
        <x:v>P2</x:v>
      </x:c>
      <x:c r="J9" s="50" t="str">
        <x:v>Resolved</x:v>
      </x:c>
      <x:c r="K9" s="55" t="n">
        <x:v>118</x:v>
      </x:c>
      <x:c r="L9" s="50" t="str">
        <x:v>Yes</x:v>
      </x:c>
      <x:c r="M9" s="50" t="str">
        <x:v>None</x:v>
      </x:c>
      <x:c r="N9" s="50" t="str">
        <x:v>Reconnected / replaced peripheral or dock</x:v>
      </x:c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50" t="str">
        <x:v>INC-2007</x:v>
      </x:c>
      <x:c r="B10" s="54" t="n">
        <x:v>46409.63263888889</x:v>
      </x:c>
      <x:c r="C10" s="50" t="str">
        <x:v>Project Site C</x:v>
      </x:c>
      <x:c r="D10" s="50" t="str">
        <x:v>Phone</x:v>
      </x:c>
      <x:c r="E10" s="50" t="str">
        <x:v>User-10</x:v>
      </x:c>
      <x:c r="F10" s="50" t="str">
        <x:v>WS-130</x:v>
      </x:c>
      <x:c r="G10" s="50" t="str">
        <x:v>Windows</x:v>
      </x:c>
      <x:c r="H10" s="50" t="str">
        <x:v>Tier 1</x:v>
      </x:c>
      <x:c r="I10" s="50" t="str">
        <x:v>P4</x:v>
      </x:c>
      <x:c r="J10" s="50" t="str">
        <x:v>Resolved</x:v>
      </x:c>
      <x:c r="K10" s="55" t="n">
        <x:v>162</x:v>
      </x:c>
      <x:c r="L10" s="50" t="str">
        <x:v>Yes</x:v>
      </x:c>
      <x:c r="M10" s="50" t="str">
        <x:v>None</x:v>
      </x:c>
      <x:c r="N10" s="50" t="str">
        <x:v>Applied update / configuration fix</x:v>
      </x:c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50" t="str">
        <x:v>INC-2008</x:v>
      </x:c>
      <x:c r="B11" s="54" t="n">
        <x:v>46398.79375</x:v>
      </x:c>
      <x:c r="C11" s="50" t="str">
        <x:v>Project Site C</x:v>
      </x:c>
      <x:c r="D11" s="50" t="str">
        <x:v>In Person</x:v>
      </x:c>
      <x:c r="E11" s="50" t="str">
        <x:v>User-24</x:v>
      </x:c>
      <x:c r="F11" s="50" t="str">
        <x:v>WS-105</x:v>
      </x:c>
      <x:c r="G11" s="50" t="str">
        <x:v>Software Install</x:v>
      </x:c>
      <x:c r="H11" s="50" t="str">
        <x:v>Tier 1</x:v>
      </x:c>
      <x:c r="I11" s="50" t="str">
        <x:v>P2</x:v>
      </x:c>
      <x:c r="J11" s="50" t="str">
        <x:v>Resolved</x:v>
      </x:c>
      <x:c r="K11" s="55" t="n">
        <x:v>59</x:v>
      </x:c>
      <x:c r="L11" s="50" t="str">
        <x:v>Yes</x:v>
      </x:c>
      <x:c r="M11" s="50" t="str">
        <x:v>None</x:v>
      </x:c>
      <x:c r="N11" s="50" t="str">
        <x:v>Installed or repaired approved software</x:v>
      </x:c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50" t="str">
        <x:v>INC-2009</x:v>
      </x:c>
      <x:c r="B12" s="54" t="n">
        <x:v>46412.333333333336</x:v>
      </x:c>
      <x:c r="C12" s="50" t="str">
        <x:v>Project Site C</x:v>
      </x:c>
      <x:c r="D12" s="50" t="str">
        <x:v>Phone</x:v>
      </x:c>
      <x:c r="E12" s="50" t="str">
        <x:v>User-28</x:v>
      </x:c>
      <x:c r="F12" s="50" t="str">
        <x:v>WS-159</x:v>
      </x:c>
      <x:c r="G12" s="50" t="str">
        <x:v>Login / Access</x:v>
      </x:c>
      <x:c r="H12" s="50" t="str">
        <x:v>Tier 1</x:v>
      </x:c>
      <x:c r="I12" s="50" t="str">
        <x:v>P4</x:v>
      </x:c>
      <x:c r="J12" s="50" t="str">
        <x:v>Resolved</x:v>
      </x:c>
      <x:c r="K12" s="55" t="n">
        <x:v>8</x:v>
      </x:c>
      <x:c r="L12" s="50" t="str">
        <x:v>Yes</x:v>
      </x:c>
      <x:c r="M12" s="50" t="str">
        <x:v>None</x:v>
      </x:c>
      <x:c r="N12" s="50" t="str">
        <x:v>Validated account and access requirements</x:v>
      </x:c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50" t="str">
        <x:v>INC-2010</x:v>
      </x:c>
      <x:c r="B13" s="54" t="n">
        <x:v>46403.06736111111</x:v>
      </x:c>
      <x:c r="C13" s="50" t="str">
        <x:v>Winnipeg Office</x:v>
      </x:c>
      <x:c r="D13" s="50" t="str">
        <x:v>In Person</x:v>
      </x:c>
      <x:c r="E13" s="50" t="str">
        <x:v>User-26</x:v>
      </x:c>
      <x:c r="F13" s="50" t="str">
        <x:v>WS-111</x:v>
      </x:c>
      <x:c r="G13" s="50" t="str">
        <x:v>Microsoft 365</x:v>
      </x:c>
      <x:c r="H13" s="50" t="str">
        <x:v>Tier 1</x:v>
      </x:c>
      <x:c r="I13" s="50" t="str">
        <x:v>P3</x:v>
      </x:c>
      <x:c r="J13" s="50" t="str">
        <x:v>Resolved</x:v>
      </x:c>
      <x:c r="K13" s="55" t="n">
        <x:v>34</x:v>
      </x:c>
      <x:c r="L13" s="50" t="str">
        <x:v>Yes</x:v>
      </x:c>
      <x:c r="M13" s="50" t="str">
        <x:v>None</x:v>
      </x:c>
      <x:c r="N13" s="50" t="str">
        <x:v>Repaired profile or sign-in configuration</x:v>
      </x:c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50" t="str">
        <x:v>INC-2011</x:v>
      </x:c>
      <x:c r="B14" s="54" t="n">
        <x:v>46416.13611111111</x:v>
      </x:c>
      <x:c r="C14" s="50" t="str">
        <x:v>Project Site B</x:v>
      </x:c>
      <x:c r="D14" s="50" t="str">
        <x:v>Phone</x:v>
      </x:c>
      <x:c r="E14" s="50" t="str">
        <x:v>User-28</x:v>
      </x:c>
      <x:c r="F14" s="50" t="str">
        <x:v>WS-119</x:v>
      </x:c>
      <x:c r="G14" s="50" t="str">
        <x:v>Software Install</x:v>
      </x:c>
      <x:c r="H14" s="50" t="str">
        <x:v>Tier 1</x:v>
      </x:c>
      <x:c r="I14" s="50" t="str">
        <x:v>P4</x:v>
      </x:c>
      <x:c r="J14" s="50" t="str">
        <x:v>Open</x:v>
      </x:c>
      <x:c r="K14" s="55" t="n">
        <x:v>0</x:v>
      </x:c>
      <x:c r="L14" s="50" t="str">
        <x:v>No</x:v>
      </x:c>
      <x:c r="M14" s="50" t="str">
        <x:v>None</x:v>
      </x:c>
      <x:c r="N14" s="50" t="str">
        <x:v>Pending further troubleshooting</x:v>
      </x:c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50" t="str">
        <x:v>INC-2012</x:v>
      </x:c>
      <x:c r="B15" s="54" t="n">
        <x:v>46398.669444444444</x:v>
      </x:c>
      <x:c r="C15" s="50" t="str">
        <x:v>Project Site A</x:v>
      </x:c>
      <x:c r="D15" s="50" t="str">
        <x:v>In Person</x:v>
      </x:c>
      <x:c r="E15" s="50" t="str">
        <x:v>User-11</x:v>
      </x:c>
      <x:c r="F15" s="50" t="str">
        <x:v>WS-122</x:v>
      </x:c>
      <x:c r="G15" s="50" t="str">
        <x:v>Software Install</x:v>
      </x:c>
      <x:c r="H15" s="50" t="str">
        <x:v>Tier 1</x:v>
      </x:c>
      <x:c r="I15" s="50" t="str">
        <x:v>P3</x:v>
      </x:c>
      <x:c r="J15" s="50" t="str">
        <x:v>Resolved</x:v>
      </x:c>
      <x:c r="K15" s="55" t="n">
        <x:v>173</x:v>
      </x:c>
      <x:c r="L15" s="50" t="str">
        <x:v>Yes</x:v>
      </x:c>
      <x:c r="M15" s="50" t="str">
        <x:v>Systems Admin</x:v>
      </x:c>
      <x:c r="N15" s="50" t="str">
        <x:v>Installed or repaired approved software</x:v>
      </x:c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50" t="str">
        <x:v>INC-2013</x:v>
      </x:c>
      <x:c r="B16" s="54" t="n">
        <x:v>46407.64236111111</x:v>
      </x:c>
      <x:c r="C16" s="50" t="str">
        <x:v>Project Site A</x:v>
      </x:c>
      <x:c r="D16" s="50" t="str">
        <x:v>Phone</x:v>
      </x:c>
      <x:c r="E16" s="50" t="str">
        <x:v>User-17</x:v>
      </x:c>
      <x:c r="F16" s="50" t="str">
        <x:v>WS-154</x:v>
      </x:c>
      <x:c r="G16" s="50" t="str">
        <x:v>Software Install</x:v>
      </x:c>
      <x:c r="H16" s="50" t="str">
        <x:v>Tier 2</x:v>
      </x:c>
      <x:c r="I16" s="50" t="str">
        <x:v>P3</x:v>
      </x:c>
      <x:c r="J16" s="50" t="str">
        <x:v>Resolved</x:v>
      </x:c>
      <x:c r="K16" s="55" t="n">
        <x:v>57</x:v>
      </x:c>
      <x:c r="L16" s="50" t="str">
        <x:v>Yes</x:v>
      </x:c>
      <x:c r="M16" s="50" t="str">
        <x:v>None</x:v>
      </x:c>
      <x:c r="N16" s="50" t="str">
        <x:v>Installed or repaired approved software</x:v>
      </x:c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50" t="str">
        <x:v>INC-2014</x:v>
      </x:c>
      <x:c r="B17" s="54" t="n">
        <x:v>46409.975694444445</x:v>
      </x:c>
      <x:c r="C17" s="50" t="str">
        <x:v>Project Site C</x:v>
      </x:c>
      <x:c r="D17" s="50" t="str">
        <x:v>Phone</x:v>
      </x:c>
      <x:c r="E17" s="50" t="str">
        <x:v>User-09</x:v>
      </x:c>
      <x:c r="F17" s="50" t="str">
        <x:v>WS-119</x:v>
      </x:c>
      <x:c r="G17" s="50" t="str">
        <x:v>Login / Access</x:v>
      </x:c>
      <x:c r="H17" s="50" t="str">
        <x:v>Tier 1</x:v>
      </x:c>
      <x:c r="I17" s="50" t="str">
        <x:v>P3</x:v>
      </x:c>
      <x:c r="J17" s="50" t="str">
        <x:v>Resolved</x:v>
      </x:c>
      <x:c r="K17" s="55" t="n">
        <x:v>57</x:v>
      </x:c>
      <x:c r="L17" s="50" t="str">
        <x:v>Yes</x:v>
      </x:c>
      <x:c r="M17" s="50" t="str">
        <x:v>Network Admin</x:v>
      </x:c>
      <x:c r="N17" s="50" t="str">
        <x:v>Validated account and access requirements</x:v>
      </x:c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50" t="str">
        <x:v>INC-2015</x:v>
      </x:c>
      <x:c r="B18" s="54" t="n">
        <x:v>46395.18680555555</x:v>
      </x:c>
      <x:c r="C18" s="50" t="str">
        <x:v>Winnipeg Office</x:v>
      </x:c>
      <x:c r="D18" s="50" t="str">
        <x:v>Phone</x:v>
      </x:c>
      <x:c r="E18" s="50" t="str">
        <x:v>User-12</x:v>
      </x:c>
      <x:c r="F18" s="50" t="str">
        <x:v>WS-147</x:v>
      </x:c>
      <x:c r="G18" s="50" t="str">
        <x:v>Printer</x:v>
      </x:c>
      <x:c r="H18" s="50" t="str">
        <x:v>Tier 1</x:v>
      </x:c>
      <x:c r="I18" s="50" t="str">
        <x:v>P2</x:v>
      </x:c>
      <x:c r="J18" s="50" t="str">
        <x:v>Escalated</x:v>
      </x:c>
      <x:c r="K18" s="55" t="n">
        <x:v>89</x:v>
      </x:c>
      <x:c r="L18" s="50" t="str">
        <x:v>Yes</x:v>
      </x:c>
      <x:c r="M18" s="50" t="str">
        <x:v>None</x:v>
      </x:c>
      <x:c r="N18" s="50" t="str">
        <x:v>Cleared queue / reconnected printer</x:v>
      </x:c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50" t="str">
        <x:v>INC-2016</x:v>
      </x:c>
      <x:c r="B19" s="54" t="n">
        <x:v>46393.87986111111</x:v>
      </x:c>
      <x:c r="C19" s="50" t="str">
        <x:v>Project Site B</x:v>
      </x:c>
      <x:c r="D19" s="50" t="str">
        <x:v>Phone</x:v>
      </x:c>
      <x:c r="E19" s="50" t="str">
        <x:v>User-17</x:v>
      </x:c>
      <x:c r="F19" s="50" t="str">
        <x:v>WS-140</x:v>
      </x:c>
      <x:c r="G19" s="50" t="str">
        <x:v>Microsoft 365</x:v>
      </x:c>
      <x:c r="H19" s="50" t="str">
        <x:v>Tier 1</x:v>
      </x:c>
      <x:c r="I19" s="50" t="str">
        <x:v>P3</x:v>
      </x:c>
      <x:c r="J19" s="50" t="str">
        <x:v>Escalated</x:v>
      </x:c>
      <x:c r="K19" s="55" t="n">
        <x:v>81</x:v>
      </x:c>
      <x:c r="L19" s="50" t="str">
        <x:v>Yes</x:v>
      </x:c>
      <x:c r="M19" s="50" t="str">
        <x:v>Vendor</x:v>
      </x:c>
      <x:c r="N19" s="50" t="str">
        <x:v>Repaired profile or sign-in configuration</x:v>
      </x:c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50" t="str">
        <x:v>INC-2017</x:v>
      </x:c>
      <x:c r="B20" s="54" t="n">
        <x:v>46406.86875</x:v>
      </x:c>
      <x:c r="C20" s="50" t="str">
        <x:v>Project Site B</x:v>
      </x:c>
      <x:c r="D20" s="50" t="str">
        <x:v>In Person</x:v>
      </x:c>
      <x:c r="E20" s="50" t="str">
        <x:v>User-05</x:v>
      </x:c>
      <x:c r="F20" s="50" t="str">
        <x:v>WS-104</x:v>
      </x:c>
      <x:c r="G20" s="50" t="str">
        <x:v>Software Install</x:v>
      </x:c>
      <x:c r="H20" s="50" t="str">
        <x:v>Tier 2</x:v>
      </x:c>
      <x:c r="I20" s="50" t="str">
        <x:v>P4</x:v>
      </x:c>
      <x:c r="J20" s="50" t="str">
        <x:v>Escalated</x:v>
      </x:c>
      <x:c r="K20" s="55" t="n">
        <x:v>39</x:v>
      </x:c>
      <x:c r="L20" s="50" t="str">
        <x:v>No</x:v>
      </x:c>
      <x:c r="M20" s="50" t="str">
        <x:v>None</x:v>
      </x:c>
      <x:c r="N20" s="50" t="str">
        <x:v>Installed or repaired approved software</x:v>
      </x:c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50" t="str">
        <x:v>INC-2018</x:v>
      </x:c>
      <x:c r="B21" s="54" t="n">
        <x:v>46416.16111111111</x:v>
      </x:c>
      <x:c r="C21" s="50" t="str">
        <x:v>Project Site B</x:v>
      </x:c>
      <x:c r="D21" s="50" t="str">
        <x:v>In Person</x:v>
      </x:c>
      <x:c r="E21" s="50" t="str">
        <x:v>User-09</x:v>
      </x:c>
      <x:c r="F21" s="50" t="str">
        <x:v>WS-164</x:v>
      </x:c>
      <x:c r="G21" s="50" t="str">
        <x:v>Printer</x:v>
      </x:c>
      <x:c r="H21" s="50" t="str">
        <x:v>Tier 1</x:v>
      </x:c>
      <x:c r="I21" s="50" t="str">
        <x:v>P3</x:v>
      </x:c>
      <x:c r="J21" s="50" t="str">
        <x:v>Open</x:v>
      </x:c>
      <x:c r="K21" s="55" t="n">
        <x:v>0</x:v>
      </x:c>
      <x:c r="L21" s="50" t="str">
        <x:v>Yes</x:v>
      </x:c>
      <x:c r="M21" s="50" t="str">
        <x:v>None</x:v>
      </x:c>
      <x:c r="N21" s="50" t="str">
        <x:v>Pending further troubleshooting</x:v>
      </x:c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50" t="str">
        <x:v>INC-2019</x:v>
      </x:c>
      <x:c r="B22" s="54" t="n">
        <x:v>46396.21805555555</x:v>
      </x:c>
      <x:c r="C22" s="50" t="str">
        <x:v>Winnipeg Office</x:v>
      </x:c>
      <x:c r="D22" s="50" t="str">
        <x:v>Phone</x:v>
      </x:c>
      <x:c r="E22" s="50" t="str">
        <x:v>User-25</x:v>
      </x:c>
      <x:c r="F22" s="50" t="str">
        <x:v>WS-148</x:v>
      </x:c>
      <x:c r="G22" s="50" t="str">
        <x:v>Peripheral / Dock</x:v>
      </x:c>
      <x:c r="H22" s="50" t="str">
        <x:v>Tier 1</x:v>
      </x:c>
      <x:c r="I22" s="50" t="str">
        <x:v>P3</x:v>
      </x:c>
      <x:c r="J22" s="50" t="str">
        <x:v>Resolved</x:v>
      </x:c>
      <x:c r="K22" s="55" t="n">
        <x:v>57</x:v>
      </x:c>
      <x:c r="L22" s="50" t="str">
        <x:v>Yes</x:v>
      </x:c>
      <x:c r="M22" s="50" t="str">
        <x:v>Systems Admin</x:v>
      </x:c>
      <x:c r="N22" s="50" t="str">
        <x:v>Reconnected / replaced peripheral or dock</x:v>
      </x:c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50" t="str">
        <x:v>INC-2020</x:v>
      </x:c>
      <x:c r="B23" s="54" t="n">
        <x:v>46400.29305555556</x:v>
      </x:c>
      <x:c r="C23" s="50" t="str">
        <x:v>Project Site B</x:v>
      </x:c>
      <x:c r="D23" s="50" t="str">
        <x:v>Phone</x:v>
      </x:c>
      <x:c r="E23" s="50" t="str">
        <x:v>User-26</x:v>
      </x:c>
      <x:c r="F23" s="50" t="str">
        <x:v>WS-110</x:v>
      </x:c>
      <x:c r="G23" s="50" t="str">
        <x:v>Login / Access</x:v>
      </x:c>
      <x:c r="H23" s="50" t="str">
        <x:v>Tier 1</x:v>
      </x:c>
      <x:c r="I23" s="50" t="str">
        <x:v>P4</x:v>
      </x:c>
      <x:c r="J23" s="50" t="str">
        <x:v>Resolved</x:v>
      </x:c>
      <x:c r="K23" s="55" t="n">
        <x:v>165</x:v>
      </x:c>
      <x:c r="L23" s="50" t="str">
        <x:v>Yes</x:v>
      </x:c>
      <x:c r="M23" s="50" t="str">
        <x:v>None</x:v>
      </x:c>
      <x:c r="N23" s="50" t="str">
        <x:v>Validated account and access requirements</x:v>
      </x:c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50" t="str">
        <x:v>INC-2021</x:v>
      </x:c>
      <x:c r="B24" s="54" t="n">
        <x:v>46398.947916666664</x:v>
      </x:c>
      <x:c r="C24" s="50" t="str">
        <x:v>Project Site B</x:v>
      </x:c>
      <x:c r="D24" s="50" t="str">
        <x:v>Phone</x:v>
      </x:c>
      <x:c r="E24" s="50" t="str">
        <x:v>User-09</x:v>
      </x:c>
      <x:c r="F24" s="50" t="str">
        <x:v>WS-129</x:v>
      </x:c>
      <x:c r="G24" s="50" t="str">
        <x:v>Software Install</x:v>
      </x:c>
      <x:c r="H24" s="50" t="str">
        <x:v>Tier 1</x:v>
      </x:c>
      <x:c r="I24" s="50" t="str">
        <x:v>P2</x:v>
      </x:c>
      <x:c r="J24" s="50" t="str">
        <x:v>Resolved</x:v>
      </x:c>
      <x:c r="K24" s="55" t="n">
        <x:v>59</x:v>
      </x:c>
      <x:c r="L24" s="50" t="str">
        <x:v>Yes</x:v>
      </x:c>
      <x:c r="M24" s="50" t="str">
        <x:v>None</x:v>
      </x:c>
      <x:c r="N24" s="50" t="str">
        <x:v>Installed or repaired approved software</x:v>
      </x:c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50" t="str">
        <x:v>INC-2022</x:v>
      </x:c>
      <x:c r="B25" s="54" t="n">
        <x:v>46399.10833333333</x:v>
      </x:c>
      <x:c r="C25" s="50" t="str">
        <x:v>Winnipeg Office</x:v>
      </x:c>
      <x:c r="D25" s="50" t="str">
        <x:v>Phone</x:v>
      </x:c>
      <x:c r="E25" s="50" t="str">
        <x:v>User-19</x:v>
      </x:c>
      <x:c r="F25" s="50" t="str">
        <x:v>WS-139</x:v>
      </x:c>
      <x:c r="G25" s="50" t="str">
        <x:v>Windows</x:v>
      </x:c>
      <x:c r="H25" s="50" t="str">
        <x:v>Tier 1</x:v>
      </x:c>
      <x:c r="I25" s="50" t="str">
        <x:v>P3</x:v>
      </x:c>
      <x:c r="J25" s="50" t="str">
        <x:v>Escalated</x:v>
      </x:c>
      <x:c r="K25" s="55" t="n">
        <x:v>15</x:v>
      </x:c>
      <x:c r="L25" s="50" t="str">
        <x:v>Yes</x:v>
      </x:c>
      <x:c r="M25" s="50" t="str">
        <x:v>None</x:v>
      </x:c>
      <x:c r="N25" s="50" t="str">
        <x:v>Applied update / configuration fix</x:v>
      </x:c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50" t="str">
        <x:v>INC-2023</x:v>
      </x:c>
      <x:c r="B26" s="54" t="n">
        <x:v>46403.39722222222</x:v>
      </x:c>
      <x:c r="C26" s="50" t="str">
        <x:v>Project Site A</x:v>
      </x:c>
      <x:c r="D26" s="50" t="str">
        <x:v>Phone</x:v>
      </x:c>
      <x:c r="E26" s="50" t="str">
        <x:v>User-07</x:v>
      </x:c>
      <x:c r="F26" s="50" t="str">
        <x:v>WS-154</x:v>
      </x:c>
      <x:c r="G26" s="50" t="str">
        <x:v>Windows</x:v>
      </x:c>
      <x:c r="H26" s="50" t="str">
        <x:v>Tier 1</x:v>
      </x:c>
      <x:c r="I26" s="50" t="str">
        <x:v>P3</x:v>
      </x:c>
      <x:c r="J26" s="50" t="str">
        <x:v>Resolved</x:v>
      </x:c>
      <x:c r="K26" s="55" t="n">
        <x:v>132</x:v>
      </x:c>
      <x:c r="L26" s="50" t="str">
        <x:v>No</x:v>
      </x:c>
      <x:c r="M26" s="50" t="str">
        <x:v>Network Admin</x:v>
      </x:c>
      <x:c r="N26" s="50" t="str">
        <x:v>Applied update / configuration fix</x:v>
      </x:c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50" t="str">
        <x:v>INC-2024</x:v>
      </x:c>
      <x:c r="B27" s="54" t="n">
        <x:v>46399.717361111114</x:v>
      </x:c>
      <x:c r="C27" s="50" t="str">
        <x:v>Winnipeg Office</x:v>
      </x:c>
      <x:c r="D27" s="50" t="str">
        <x:v>In Person</x:v>
      </x:c>
      <x:c r="E27" s="50" t="str">
        <x:v>User-09</x:v>
      </x:c>
      <x:c r="F27" s="50" t="str">
        <x:v>WS-118</x:v>
      </x:c>
      <x:c r="G27" s="50" t="str">
        <x:v>Windows</x:v>
      </x:c>
      <x:c r="H27" s="50" t="str">
        <x:v>Tier 1</x:v>
      </x:c>
      <x:c r="I27" s="50" t="str">
        <x:v>P2</x:v>
      </x:c>
      <x:c r="J27" s="50" t="str">
        <x:v>Open</x:v>
      </x:c>
      <x:c r="K27" s="55" t="n">
        <x:v>0</x:v>
      </x:c>
      <x:c r="L27" s="50" t="str">
        <x:v>Yes</x:v>
      </x:c>
      <x:c r="M27" s="50" t="str">
        <x:v>None</x:v>
      </x:c>
      <x:c r="N27" s="50" t="str">
        <x:v>Pending further troubleshooting</x:v>
      </x:c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50" t="str">
        <x:v>INC-2025</x:v>
      </x:c>
      <x:c r="B28" s="54" t="n">
        <x:v>46393.89375</x:v>
      </x:c>
      <x:c r="C28" s="50" t="str">
        <x:v>Project Site A</x:v>
      </x:c>
      <x:c r="D28" s="50" t="str">
        <x:v>Phone</x:v>
      </x:c>
      <x:c r="E28" s="50" t="str">
        <x:v>User-09</x:v>
      </x:c>
      <x:c r="F28" s="50" t="str">
        <x:v>WS-108</x:v>
      </x:c>
      <x:c r="G28" s="50" t="str">
        <x:v>Microsoft 365</x:v>
      </x:c>
      <x:c r="H28" s="50" t="str">
        <x:v>Tier 2</x:v>
      </x:c>
      <x:c r="I28" s="50" t="str">
        <x:v>P4</x:v>
      </x:c>
      <x:c r="J28" s="50" t="str">
        <x:v>Resolved</x:v>
      </x:c>
      <x:c r="K28" s="55" t="n">
        <x:v>177</x:v>
      </x:c>
      <x:c r="L28" s="50" t="str">
        <x:v>Yes</x:v>
      </x:c>
      <x:c r="M28" s="50" t="str">
        <x:v>Systems Admin</x:v>
      </x:c>
      <x:c r="N28" s="50" t="str">
        <x:v>Repaired profile or sign-in configuration</x:v>
      </x:c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50" t="str">
        <x:v>INC-2026</x:v>
      </x:c>
      <x:c r="B29" s="54" t="n">
        <x:v>46401.48333333333</x:v>
      </x:c>
      <x:c r="C29" s="50" t="str">
        <x:v>Project Site C</x:v>
      </x:c>
      <x:c r="D29" s="50" t="str">
        <x:v>Phone</x:v>
      </x:c>
      <x:c r="E29" s="50" t="str">
        <x:v>User-26</x:v>
      </x:c>
      <x:c r="F29" s="50" t="str">
        <x:v>WS-111</x:v>
      </x:c>
      <x:c r="G29" s="50" t="str">
        <x:v>Printer</x:v>
      </x:c>
      <x:c r="H29" s="50" t="str">
        <x:v>Tier 1</x:v>
      </x:c>
      <x:c r="I29" s="50" t="str">
        <x:v>P2</x:v>
      </x:c>
      <x:c r="J29" s="50" t="str">
        <x:v>Resolved</x:v>
      </x:c>
      <x:c r="K29" s="55" t="n">
        <x:v>79</x:v>
      </x:c>
      <x:c r="L29" s="50" t="str">
        <x:v>Yes</x:v>
      </x:c>
      <x:c r="M29" s="50" t="str">
        <x:v>None</x:v>
      </x:c>
      <x:c r="N29" s="50" t="str">
        <x:v>Cleared queue / reconnected printer</x:v>
      </x:c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50" t="str">
        <x:v>INC-2027</x:v>
      </x:c>
      <x:c r="B30" s="54" t="n">
        <x:v>46392.00625</x:v>
      </x:c>
      <x:c r="C30" s="50" t="str">
        <x:v>Project Site B</x:v>
      </x:c>
      <x:c r="D30" s="50" t="str">
        <x:v>In Person</x:v>
      </x:c>
      <x:c r="E30" s="50" t="str">
        <x:v>User-26</x:v>
      </x:c>
      <x:c r="F30" s="50" t="str">
        <x:v>WS-122</x:v>
      </x:c>
      <x:c r="G30" s="50" t="str">
        <x:v>Login / Access</x:v>
      </x:c>
      <x:c r="H30" s="50" t="str">
        <x:v>Tier 2</x:v>
      </x:c>
      <x:c r="I30" s="50" t="str">
        <x:v>P4</x:v>
      </x:c>
      <x:c r="J30" s="50" t="str">
        <x:v>Open</x:v>
      </x:c>
      <x:c r="K30" s="55" t="n">
        <x:v>0</x:v>
      </x:c>
      <x:c r="L30" s="50" t="str">
        <x:v>Yes</x:v>
      </x:c>
      <x:c r="M30" s="50" t="str">
        <x:v>None</x:v>
      </x:c>
      <x:c r="N30" s="50" t="str">
        <x:v>Pending further troubleshooting</x:v>
      </x:c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50" t="str">
        <x:v>INC-2028</x:v>
      </x:c>
      <x:c r="B31" s="54" t="n">
        <x:v>46405.475</x:v>
      </x:c>
      <x:c r="C31" s="50" t="str">
        <x:v>Project Site B</x:v>
      </x:c>
      <x:c r="D31" s="50" t="str">
        <x:v>Phone</x:v>
      </x:c>
      <x:c r="E31" s="50" t="str">
        <x:v>User-17</x:v>
      </x:c>
      <x:c r="F31" s="50" t="str">
        <x:v>WS-153</x:v>
      </x:c>
      <x:c r="G31" s="50" t="str">
        <x:v>Hardware</x:v>
      </x:c>
      <x:c r="H31" s="50" t="str">
        <x:v>Tier 2</x:v>
      </x:c>
      <x:c r="I31" s="50" t="str">
        <x:v>P2</x:v>
      </x:c>
      <x:c r="J31" s="50" t="str">
        <x:v>Resolved</x:v>
      </x:c>
      <x:c r="K31" s="55" t="n">
        <x:v>42</x:v>
      </x:c>
      <x:c r="L31" s="50" t="str">
        <x:v>Yes</x:v>
      </x:c>
      <x:c r="M31" s="50" t="str">
        <x:v>None</x:v>
      </x:c>
      <x:c r="N31" s="50" t="str">
        <x:v>Replaced or reseated affected hardware</x:v>
      </x:c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50" t="str">
        <x:v>INC-2029</x:v>
      </x:c>
      <x:c r="B32" s="54" t="n">
        <x:v>46411.08611111111</x:v>
      </x:c>
      <x:c r="C32" s="50" t="str">
        <x:v>Project Site C</x:v>
      </x:c>
      <x:c r="D32" s="50" t="str">
        <x:v>Phone</x:v>
      </x:c>
      <x:c r="E32" s="50" t="str">
        <x:v>User-18</x:v>
      </x:c>
      <x:c r="F32" s="50" t="str">
        <x:v>WS-163</x:v>
      </x:c>
      <x:c r="G32" s="50" t="str">
        <x:v>Windows</x:v>
      </x:c>
      <x:c r="H32" s="50" t="str">
        <x:v>Tier 2</x:v>
      </x:c>
      <x:c r="I32" s="50" t="str">
        <x:v>P3</x:v>
      </x:c>
      <x:c r="J32" s="50" t="str">
        <x:v>Resolved</x:v>
      </x:c>
      <x:c r="K32" s="55" t="n">
        <x:v>185</x:v>
      </x:c>
      <x:c r="L32" s="50" t="str">
        <x:v>Yes</x:v>
      </x:c>
      <x:c r="M32" s="50" t="str">
        <x:v>Systems Admin</x:v>
      </x:c>
      <x:c r="N32" s="50" t="str">
        <x:v>Applied update / configuration fix</x:v>
      </x:c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50" t="str">
        <x:v>INC-2030</x:v>
      </x:c>
      <x:c r="B33" s="54" t="n">
        <x:v>46412.035416666666</x:v>
      </x:c>
      <x:c r="C33" s="50" t="str">
        <x:v>Project Site B</x:v>
      </x:c>
      <x:c r="D33" s="50" t="str">
        <x:v>In Person</x:v>
      </x:c>
      <x:c r="E33" s="50" t="str">
        <x:v>User-17</x:v>
      </x:c>
      <x:c r="F33" s="50" t="str">
        <x:v>WS-171</x:v>
      </x:c>
      <x:c r="G33" s="50" t="str">
        <x:v>Peripheral / Dock</x:v>
      </x:c>
      <x:c r="H33" s="50" t="str">
        <x:v>Tier 1</x:v>
      </x:c>
      <x:c r="I33" s="50" t="str">
        <x:v>P3</x:v>
      </x:c>
      <x:c r="J33" s="50" t="str">
        <x:v>Resolved</x:v>
      </x:c>
      <x:c r="K33" s="55" t="n">
        <x:v>9</x:v>
      </x:c>
      <x:c r="L33" s="50" t="str">
        <x:v>No</x:v>
      </x:c>
      <x:c r="M33" s="50" t="str">
        <x:v>None</x:v>
      </x:c>
      <x:c r="N33" s="50" t="str">
        <x:v>Reconnected / replaced peripheral or dock</x:v>
      </x:c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50" t="str">
        <x:v>INC-2031</x:v>
      </x:c>
      <x:c r="B34" s="54" t="n">
        <x:v>46397.33263888889</x:v>
      </x:c>
      <x:c r="C34" s="50" t="str">
        <x:v>Project Site C</x:v>
      </x:c>
      <x:c r="D34" s="50" t="str">
        <x:v>In Person</x:v>
      </x:c>
      <x:c r="E34" s="50" t="str">
        <x:v>User-24</x:v>
      </x:c>
      <x:c r="F34" s="50" t="str">
        <x:v>WS-121</x:v>
      </x:c>
      <x:c r="G34" s="50" t="str">
        <x:v>Hardware</x:v>
      </x:c>
      <x:c r="H34" s="50" t="str">
        <x:v>Tier 1</x:v>
      </x:c>
      <x:c r="I34" s="50" t="str">
        <x:v>P2</x:v>
      </x:c>
      <x:c r="J34" s="50" t="str">
        <x:v>Resolved</x:v>
      </x:c>
      <x:c r="K34" s="55" t="n">
        <x:v>67</x:v>
      </x:c>
      <x:c r="L34" s="50" t="str">
        <x:v>Yes</x:v>
      </x:c>
      <x:c r="M34" s="50" t="str">
        <x:v>None</x:v>
      </x:c>
      <x:c r="N34" s="50" t="str">
        <x:v>Replaced or reseated affected hardware</x:v>
      </x:c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50" t="str">
        <x:v>INC-2032</x:v>
      </x:c>
      <x:c r="B35" s="54" t="n">
        <x:v>46393.87986111111</x:v>
      </x:c>
      <x:c r="C35" s="50" t="str">
        <x:v>Project Site B</x:v>
      </x:c>
      <x:c r="D35" s="50" t="str">
        <x:v>Phone</x:v>
      </x:c>
      <x:c r="E35" s="50" t="str">
        <x:v>User-03</x:v>
      </x:c>
      <x:c r="F35" s="50" t="str">
        <x:v>WS-179</x:v>
      </x:c>
      <x:c r="G35" s="50" t="str">
        <x:v>Login / Access</x:v>
      </x:c>
      <x:c r="H35" s="50" t="str">
        <x:v>Tier 1</x:v>
      </x:c>
      <x:c r="I35" s="50" t="str">
        <x:v>P4</x:v>
      </x:c>
      <x:c r="J35" s="50" t="str">
        <x:v>Open</x:v>
      </x:c>
      <x:c r="K35" s="55" t="n">
        <x:v>0</x:v>
      </x:c>
      <x:c r="L35" s="50" t="str">
        <x:v>Yes</x:v>
      </x:c>
      <x:c r="M35" s="50" t="str">
        <x:v>None</x:v>
      </x:c>
      <x:c r="N35" s="50" t="str">
        <x:v>Pending further troubleshooting</x:v>
      </x:c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50" t="str">
        <x:v>INC-2033</x:v>
      </x:c>
      <x:c r="B36" s="54" t="n">
        <x:v>46397.33888888889</x:v>
      </x:c>
      <x:c r="C36" s="50" t="str">
        <x:v>Project Site B</x:v>
      </x:c>
      <x:c r="D36" s="50" t="str">
        <x:v>In Person</x:v>
      </x:c>
      <x:c r="E36" s="50" t="str">
        <x:v>User-29</x:v>
      </x:c>
      <x:c r="F36" s="50" t="str">
        <x:v>WS-126</x:v>
      </x:c>
      <x:c r="G36" s="50" t="str">
        <x:v>Peripheral / Dock</x:v>
      </x:c>
      <x:c r="H36" s="50" t="str">
        <x:v>Tier 2</x:v>
      </x:c>
      <x:c r="I36" s="50" t="str">
        <x:v>P3</x:v>
      </x:c>
      <x:c r="J36" s="50" t="str">
        <x:v>Resolved</x:v>
      </x:c>
      <x:c r="K36" s="55" t="n">
        <x:v>137</x:v>
      </x:c>
      <x:c r="L36" s="50" t="str">
        <x:v>Yes</x:v>
      </x:c>
      <x:c r="M36" s="50" t="str">
        <x:v>Network Admin</x:v>
      </x:c>
      <x:c r="N36" s="50" t="str">
        <x:v>Reconnected / replaced peripheral or dock</x:v>
      </x:c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50" t="str">
        <x:v>INC-2034</x:v>
      </x:c>
      <x:c r="B37" s="54" t="n">
        <x:v>46413.29513888889</x:v>
      </x:c>
      <x:c r="C37" s="50" t="str">
        <x:v>Winnipeg Office</x:v>
      </x:c>
      <x:c r="D37" s="50" t="str">
        <x:v>In Person</x:v>
      </x:c>
      <x:c r="E37" s="50" t="str">
        <x:v>User-05</x:v>
      </x:c>
      <x:c r="F37" s="50" t="str">
        <x:v>WS-178</x:v>
      </x:c>
      <x:c r="G37" s="50" t="str">
        <x:v>Printer</x:v>
      </x:c>
      <x:c r="H37" s="50" t="str">
        <x:v>Tier 1</x:v>
      </x:c>
      <x:c r="I37" s="50" t="str">
        <x:v>P2</x:v>
      </x:c>
      <x:c r="J37" s="50" t="str">
        <x:v>Open</x:v>
      </x:c>
      <x:c r="K37" s="55" t="n">
        <x:v>0</x:v>
      </x:c>
      <x:c r="L37" s="50" t="str">
        <x:v>Yes</x:v>
      </x:c>
      <x:c r="M37" s="50" t="str">
        <x:v>None</x:v>
      </x:c>
      <x:c r="N37" s="50" t="str">
        <x:v>Pending further troubleshooting</x:v>
      </x:c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50" t="str">
        <x:v>INC-2035</x:v>
      </x:c>
      <x:c r="B38" s="54" t="n">
        <x:v>46414.26111111111</x:v>
      </x:c>
      <x:c r="C38" s="50" t="str">
        <x:v>Project Site B</x:v>
      </x:c>
      <x:c r="D38" s="50" t="str">
        <x:v>Phone</x:v>
      </x:c>
      <x:c r="E38" s="50" t="str">
        <x:v>User-19</x:v>
      </x:c>
      <x:c r="F38" s="50" t="str">
        <x:v>WS-121</x:v>
      </x:c>
      <x:c r="G38" s="50" t="str">
        <x:v>Software Install</x:v>
      </x:c>
      <x:c r="H38" s="50" t="str">
        <x:v>Tier 1</x:v>
      </x:c>
      <x:c r="I38" s="50" t="str">
        <x:v>P4</x:v>
      </x:c>
      <x:c r="J38" s="50" t="str">
        <x:v>Resolved</x:v>
      </x:c>
      <x:c r="K38" s="55" t="n">
        <x:v>153</x:v>
      </x:c>
      <x:c r="L38" s="50" t="str">
        <x:v>Yes</x:v>
      </x:c>
      <x:c r="M38" s="50" t="str">
        <x:v>None</x:v>
      </x:c>
      <x:c r="N38" s="50" t="str">
        <x:v>Installed or repaired approved software</x:v>
      </x:c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50" t="str">
        <x:v>INC-2036</x:v>
      </x:c>
      <x:c r="B39" s="54" t="n">
        <x:v>46395.14722222222</x:v>
      </x:c>
      <x:c r="C39" s="50" t="str">
        <x:v>Project Site A</x:v>
      </x:c>
      <x:c r="D39" s="50" t="str">
        <x:v>Phone</x:v>
      </x:c>
      <x:c r="E39" s="50" t="str">
        <x:v>User-01</x:v>
      </x:c>
      <x:c r="F39" s="50" t="str">
        <x:v>WS-131</x:v>
      </x:c>
      <x:c r="G39" s="50" t="str">
        <x:v>Windows</x:v>
      </x:c>
      <x:c r="H39" s="50" t="str">
        <x:v>Tier 2</x:v>
      </x:c>
      <x:c r="I39" s="50" t="str">
        <x:v>P3</x:v>
      </x:c>
      <x:c r="J39" s="50" t="str">
        <x:v>Escalated</x:v>
      </x:c>
      <x:c r="K39" s="55" t="n">
        <x:v>81</x:v>
      </x:c>
      <x:c r="L39" s="50" t="str">
        <x:v>No</x:v>
      </x:c>
      <x:c r="M39" s="50" t="str">
        <x:v>None</x:v>
      </x:c>
      <x:c r="N39" s="50" t="str">
        <x:v>Applied update / configuration fix</x:v>
      </x:c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50" t="str">
        <x:v>INC-2037</x:v>
      </x:c>
      <x:c r="B40" s="54" t="n">
        <x:v>46394.65347222222</x:v>
      </x:c>
      <x:c r="C40" s="50" t="str">
        <x:v>Winnipeg Office</x:v>
      </x:c>
      <x:c r="D40" s="50" t="str">
        <x:v>In Person</x:v>
      </x:c>
      <x:c r="E40" s="50" t="str">
        <x:v>User-19</x:v>
      </x:c>
      <x:c r="F40" s="50" t="str">
        <x:v>WS-101</x:v>
      </x:c>
      <x:c r="G40" s="50" t="str">
        <x:v>Hardware</x:v>
      </x:c>
      <x:c r="H40" s="50" t="str">
        <x:v>Tier 1</x:v>
      </x:c>
      <x:c r="I40" s="50" t="str">
        <x:v>P2</x:v>
      </x:c>
      <x:c r="J40" s="50" t="str">
        <x:v>Escalated</x:v>
      </x:c>
      <x:c r="K40" s="55" t="n">
        <x:v>43</x:v>
      </x:c>
      <x:c r="L40" s="50" t="str">
        <x:v>No</x:v>
      </x:c>
      <x:c r="M40" s="50" t="str">
        <x:v>None</x:v>
      </x:c>
      <x:c r="N40" s="50" t="str">
        <x:v>Replaced or reseated affected hardware</x:v>
      </x:c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50" t="str">
        <x:v>INC-2038</x:v>
      </x:c>
      <x:c r="B41" s="54" t="n">
        <x:v>46400.4625</x:v>
      </x:c>
      <x:c r="C41" s="50" t="str">
        <x:v>Project Site C</x:v>
      </x:c>
      <x:c r="D41" s="50" t="str">
        <x:v>Phone</x:v>
      </x:c>
      <x:c r="E41" s="50" t="str">
        <x:v>User-21</x:v>
      </x:c>
      <x:c r="F41" s="50" t="str">
        <x:v>WS-167</x:v>
      </x:c>
      <x:c r="G41" s="50" t="str">
        <x:v>Peripheral / Dock</x:v>
      </x:c>
      <x:c r="H41" s="50" t="str">
        <x:v>Tier 1</x:v>
      </x:c>
      <x:c r="I41" s="50" t="str">
        <x:v>P4</x:v>
      </x:c>
      <x:c r="J41" s="50" t="str">
        <x:v>Open</x:v>
      </x:c>
      <x:c r="K41" s="55" t="n">
        <x:v>0</x:v>
      </x:c>
      <x:c r="L41" s="50" t="str">
        <x:v>Yes</x:v>
      </x:c>
      <x:c r="M41" s="50" t="str">
        <x:v>None</x:v>
      </x:c>
      <x:c r="N41" s="50" t="str">
        <x:v>Pending further troubleshooting</x:v>
      </x:c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50" t="str">
        <x:v>INC-2039</x:v>
      </x:c>
      <x:c r="B42" s="54" t="n">
        <x:v>46408.05069444444</x:v>
      </x:c>
      <x:c r="C42" s="50" t="str">
        <x:v>Project Site A</x:v>
      </x:c>
      <x:c r="D42" s="50" t="str">
        <x:v>In Person</x:v>
      </x:c>
      <x:c r="E42" s="50" t="str">
        <x:v>User-29</x:v>
      </x:c>
      <x:c r="F42" s="50" t="str">
        <x:v>WS-158</x:v>
      </x:c>
      <x:c r="G42" s="50" t="str">
        <x:v>Windows</x:v>
      </x:c>
      <x:c r="H42" s="50" t="str">
        <x:v>Tier 1</x:v>
      </x:c>
      <x:c r="I42" s="50" t="str">
        <x:v>P3</x:v>
      </x:c>
      <x:c r="J42" s="50" t="str">
        <x:v>Resolved</x:v>
      </x:c>
      <x:c r="K42" s="55" t="n">
        <x:v>51</x:v>
      </x:c>
      <x:c r="L42" s="50" t="str">
        <x:v>Yes</x:v>
      </x:c>
      <x:c r="M42" s="50" t="str">
        <x:v>None</x:v>
      </x:c>
      <x:c r="N42" s="50" t="str">
        <x:v>Applied update / configuration fix</x:v>
      </x:c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50" t="str">
        <x:v>INC-2040</x:v>
      </x:c>
      <x:c r="B43" s="54" t="n">
        <x:v>46408.85972222222</x:v>
      </x:c>
      <x:c r="C43" s="50" t="str">
        <x:v>Project Site A</x:v>
      </x:c>
      <x:c r="D43" s="50" t="str">
        <x:v>In Person</x:v>
      </x:c>
      <x:c r="E43" s="50" t="str">
        <x:v>User-24</x:v>
      </x:c>
      <x:c r="F43" s="50" t="str">
        <x:v>WS-116</x:v>
      </x:c>
      <x:c r="G43" s="50" t="str">
        <x:v>Network Connectivity</x:v>
      </x:c>
      <x:c r="H43" s="50" t="str">
        <x:v>Tier 2</x:v>
      </x:c>
      <x:c r="I43" s="50" t="str">
        <x:v>P3</x:v>
      </x:c>
      <x:c r="J43" s="50" t="str">
        <x:v>Escalated</x:v>
      </x:c>
      <x:c r="K43" s="55" t="n">
        <x:v>144</x:v>
      </x:c>
      <x:c r="L43" s="50" t="str">
        <x:v>Yes</x:v>
      </x:c>
      <x:c r="M43" s="50" t="str">
        <x:v>None</x:v>
      </x:c>
      <x:c r="N43" s="50" t="str">
        <x:v>Validated IP/DNS and restored connectivity</x:v>
      </x:c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50" t="str">
        <x:v>INC-2041</x:v>
      </x:c>
      <x:c r="B44" s="54" t="n">
        <x:v>46400.006944444445</x:v>
      </x:c>
      <x:c r="C44" s="50" t="str">
        <x:v>Winnipeg Office</x:v>
      </x:c>
      <x:c r="D44" s="50" t="str">
        <x:v>In Person</x:v>
      </x:c>
      <x:c r="E44" s="50" t="str">
        <x:v>User-06</x:v>
      </x:c>
      <x:c r="F44" s="50" t="str">
        <x:v>WS-110</x:v>
      </x:c>
      <x:c r="G44" s="50" t="str">
        <x:v>Hardware</x:v>
      </x:c>
      <x:c r="H44" s="50" t="str">
        <x:v>Tier 1</x:v>
      </x:c>
      <x:c r="I44" s="50" t="str">
        <x:v>P3</x:v>
      </x:c>
      <x:c r="J44" s="50" t="str">
        <x:v>Resolved</x:v>
      </x:c>
      <x:c r="K44" s="55" t="n">
        <x:v>73</x:v>
      </x:c>
      <x:c r="L44" s="50" t="str">
        <x:v>Yes</x:v>
      </x:c>
      <x:c r="M44" s="50" t="str">
        <x:v>Network Admin</x:v>
      </x:c>
      <x:c r="N44" s="50" t="str">
        <x:v>Replaced or reseated affected hardware</x:v>
      </x:c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50" t="str">
        <x:v>INC-2042</x:v>
      </x:c>
      <x:c r="B45" s="54" t="n">
        <x:v>46414.93819444445</x:v>
      </x:c>
      <x:c r="C45" s="50" t="str">
        <x:v>Project Site B</x:v>
      </x:c>
      <x:c r="D45" s="50" t="str">
        <x:v>Phone</x:v>
      </x:c>
      <x:c r="E45" s="50" t="str">
        <x:v>User-20</x:v>
      </x:c>
      <x:c r="F45" s="50" t="str">
        <x:v>WS-121</x:v>
      </x:c>
      <x:c r="G45" s="50" t="str">
        <x:v>Login / Access</x:v>
      </x:c>
      <x:c r="H45" s="50" t="str">
        <x:v>Tier 1</x:v>
      </x:c>
      <x:c r="I45" s="50" t="str">
        <x:v>P4</x:v>
      </x:c>
      <x:c r="J45" s="50" t="str">
        <x:v>Resolved</x:v>
      </x:c>
      <x:c r="K45" s="55" t="n">
        <x:v>25</x:v>
      </x:c>
      <x:c r="L45" s="50" t="str">
        <x:v>Yes</x:v>
      </x:c>
      <x:c r="M45" s="50" t="str">
        <x:v>None</x:v>
      </x:c>
      <x:c r="N45" s="50" t="str">
        <x:v>Validated account and access requirements</x:v>
      </x:c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50" t="str">
        <x:v>INC-2043</x:v>
      </x:c>
      <x:c r="B46" s="54" t="n">
        <x:v>46405.82847222222</x:v>
      </x:c>
      <x:c r="C46" s="50" t="str">
        <x:v>Winnipeg Office</x:v>
      </x:c>
      <x:c r="D46" s="50" t="str">
        <x:v>In Person</x:v>
      </x:c>
      <x:c r="E46" s="50" t="str">
        <x:v>User-12</x:v>
      </x:c>
      <x:c r="F46" s="50" t="str">
        <x:v>WS-156</x:v>
      </x:c>
      <x:c r="G46" s="50" t="str">
        <x:v>Hardware</x:v>
      </x:c>
      <x:c r="H46" s="50" t="str">
        <x:v>Tier 2</x:v>
      </x:c>
      <x:c r="I46" s="50" t="str">
        <x:v>P4</x:v>
      </x:c>
      <x:c r="J46" s="50" t="str">
        <x:v>Resolved</x:v>
      </x:c>
      <x:c r="K46" s="55" t="n">
        <x:v>43</x:v>
      </x:c>
      <x:c r="L46" s="50" t="str">
        <x:v>Yes</x:v>
      </x:c>
      <x:c r="M46" s="50" t="str">
        <x:v>None</x:v>
      </x:c>
      <x:c r="N46" s="50" t="str">
        <x:v>Replaced or reseated affected hardware</x:v>
      </x:c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50" t="str">
        <x:v>INC-2044</x:v>
      </x:c>
      <x:c r="B47" s="54" t="n">
        <x:v>46405.836805555555</x:v>
      </x:c>
      <x:c r="C47" s="50" t="str">
        <x:v>Project Site B</x:v>
      </x:c>
      <x:c r="D47" s="50" t="str">
        <x:v>In Person</x:v>
      </x:c>
      <x:c r="E47" s="50" t="str">
        <x:v>User-20</x:v>
      </x:c>
      <x:c r="F47" s="50" t="str">
        <x:v>WS-153</x:v>
      </x:c>
      <x:c r="G47" s="50" t="str">
        <x:v>Login / Access</x:v>
      </x:c>
      <x:c r="H47" s="50" t="str">
        <x:v>Tier 1</x:v>
      </x:c>
      <x:c r="I47" s="50" t="str">
        <x:v>P3</x:v>
      </x:c>
      <x:c r="J47" s="50" t="str">
        <x:v>Escalated</x:v>
      </x:c>
      <x:c r="K47" s="55" t="n">
        <x:v>70</x:v>
      </x:c>
      <x:c r="L47" s="50" t="str">
        <x:v>Yes</x:v>
      </x:c>
      <x:c r="M47" s="50" t="str">
        <x:v>Office Admin</x:v>
      </x:c>
      <x:c r="N47" s="50" t="str">
        <x:v>Validated account and access requirements</x:v>
      </x:c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50" t="str">
        <x:v>INC-2045</x:v>
      </x:c>
      <x:c r="B48" s="54" t="n">
        <x:v>46400.481944444444</x:v>
      </x:c>
      <x:c r="C48" s="50" t="str">
        <x:v>Project Site A</x:v>
      </x:c>
      <x:c r="D48" s="50" t="str">
        <x:v>Phone</x:v>
      </x:c>
      <x:c r="E48" s="50" t="str">
        <x:v>User-04</x:v>
      </x:c>
      <x:c r="F48" s="50" t="str">
        <x:v>WS-168</x:v>
      </x:c>
      <x:c r="G48" s="50" t="str">
        <x:v>Peripheral / Dock</x:v>
      </x:c>
      <x:c r="H48" s="50" t="str">
        <x:v>Tier 1</x:v>
      </x:c>
      <x:c r="I48" s="50" t="str">
        <x:v>P4</x:v>
      </x:c>
      <x:c r="J48" s="50" t="str">
        <x:v>Resolved</x:v>
      </x:c>
      <x:c r="K48" s="55" t="n">
        <x:v>89</x:v>
      </x:c>
      <x:c r="L48" s="50" t="str">
        <x:v>Yes</x:v>
      </x:c>
      <x:c r="M48" s="50" t="str">
        <x:v>None</x:v>
      </x:c>
      <x:c r="N48" s="50" t="str">
        <x:v>Reconnected / replaced peripheral or dock</x:v>
      </x:c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50" t="str">
        <x:v>INC-2046</x:v>
      </x:c>
      <x:c r="B49" s="54" t="n">
        <x:v>46414.847916666666</x:v>
      </x:c>
      <x:c r="C49" s="50" t="str">
        <x:v>Winnipeg Office</x:v>
      </x:c>
      <x:c r="D49" s="50" t="str">
        <x:v>Phone</x:v>
      </x:c>
      <x:c r="E49" s="50" t="str">
        <x:v>User-19</x:v>
      </x:c>
      <x:c r="F49" s="50" t="str">
        <x:v>WS-113</x:v>
      </x:c>
      <x:c r="G49" s="50" t="str">
        <x:v>Microsoft 365</x:v>
      </x:c>
      <x:c r="H49" s="50" t="str">
        <x:v>Tier 1</x:v>
      </x:c>
      <x:c r="I49" s="50" t="str">
        <x:v>P2</x:v>
      </x:c>
      <x:c r="J49" s="50" t="str">
        <x:v>Resolved</x:v>
      </x:c>
      <x:c r="K49" s="55" t="n">
        <x:v>147</x:v>
      </x:c>
      <x:c r="L49" s="50" t="str">
        <x:v>Yes</x:v>
      </x:c>
      <x:c r="M49" s="50" t="str">
        <x:v>None</x:v>
      </x:c>
      <x:c r="N49" s="50" t="str">
        <x:v>Repaired profile or sign-in configuration</x:v>
      </x:c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50" t="str">
        <x:v>INC-2047</x:v>
      </x:c>
      <x:c r="B50" s="54" t="n">
        <x:v>46399.884722222225</x:v>
      </x:c>
      <x:c r="C50" s="50" t="str">
        <x:v>Project Site A</x:v>
      </x:c>
      <x:c r="D50" s="50" t="str">
        <x:v>In Person</x:v>
      </x:c>
      <x:c r="E50" s="50" t="str">
        <x:v>User-13</x:v>
      </x:c>
      <x:c r="F50" s="50" t="str">
        <x:v>WS-149</x:v>
      </x:c>
      <x:c r="G50" s="50" t="str">
        <x:v>Microsoft 365</x:v>
      </x:c>
      <x:c r="H50" s="50" t="str">
        <x:v>Tier 1</x:v>
      </x:c>
      <x:c r="I50" s="50" t="str">
        <x:v>P2</x:v>
      </x:c>
      <x:c r="J50" s="50" t="str">
        <x:v>Resolved</x:v>
      </x:c>
      <x:c r="K50" s="55" t="n">
        <x:v>85</x:v>
      </x:c>
      <x:c r="L50" s="50" t="str">
        <x:v>Yes</x:v>
      </x:c>
      <x:c r="M50" s="50" t="str">
        <x:v>Systems Admin</x:v>
      </x:c>
      <x:c r="N50" s="50" t="str">
        <x:v>Repaired profile or sign-in configuration</x:v>
      </x:c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50" t="str">
        <x:v>INC-2048</x:v>
      </x:c>
      <x:c r="B51" s="54" t="n">
        <x:v>46401.44236111111</x:v>
      </x:c>
      <x:c r="C51" s="50" t="str">
        <x:v>Project Site A</x:v>
      </x:c>
      <x:c r="D51" s="50" t="str">
        <x:v>Phone</x:v>
      </x:c>
      <x:c r="E51" s="50" t="str">
        <x:v>User-12</x:v>
      </x:c>
      <x:c r="F51" s="50" t="str">
        <x:v>WS-132</x:v>
      </x:c>
      <x:c r="G51" s="50" t="str">
        <x:v>Login / Access</x:v>
      </x:c>
      <x:c r="H51" s="50" t="str">
        <x:v>Tier 2</x:v>
      </x:c>
      <x:c r="I51" s="50" t="str">
        <x:v>P4</x:v>
      </x:c>
      <x:c r="J51" s="50" t="str">
        <x:v>Resolved</x:v>
      </x:c>
      <x:c r="K51" s="55" t="n">
        <x:v>163</x:v>
      </x:c>
      <x:c r="L51" s="50" t="str">
        <x:v>Yes</x:v>
      </x:c>
      <x:c r="M51" s="50" t="str">
        <x:v>None</x:v>
      </x:c>
      <x:c r="N51" s="50" t="str">
        <x:v>Validated account and access requirements</x:v>
      </x:c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50" t="str">
        <x:v>INC-2049</x:v>
      </x:c>
      <x:c r="B52" s="54" t="n">
        <x:v>46404.995833333334</x:v>
      </x:c>
      <x:c r="C52" s="50" t="str">
        <x:v>Project Site A</x:v>
      </x:c>
      <x:c r="D52" s="50" t="str">
        <x:v>In Person</x:v>
      </x:c>
      <x:c r="E52" s="50" t="str">
        <x:v>User-27</x:v>
      </x:c>
      <x:c r="F52" s="50" t="str">
        <x:v>WS-173</x:v>
      </x:c>
      <x:c r="G52" s="50" t="str">
        <x:v>Hardware</x:v>
      </x:c>
      <x:c r="H52" s="50" t="str">
        <x:v>Tier 1</x:v>
      </x:c>
      <x:c r="I52" s="50" t="str">
        <x:v>P4</x:v>
      </x:c>
      <x:c r="J52" s="50" t="str">
        <x:v>Escalated</x:v>
      </x:c>
      <x:c r="K52" s="55" t="n">
        <x:v>180</x:v>
      </x:c>
      <x:c r="L52" s="50" t="str">
        <x:v>Yes</x:v>
      </x:c>
      <x:c r="M52" s="50" t="str">
        <x:v>Vendor</x:v>
      </x:c>
      <x:c r="N52" s="50" t="str">
        <x:v>Replaced or reseated affected hardware</x:v>
      </x:c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50" t="str">
        <x:v>INC-2050</x:v>
      </x:c>
      <x:c r="B53" s="54" t="n">
        <x:v>46408.125</x:v>
      </x:c>
      <x:c r="C53" s="50" t="str">
        <x:v>Winnipeg Office</x:v>
      </x:c>
      <x:c r="D53" s="50" t="str">
        <x:v>In Person</x:v>
      </x:c>
      <x:c r="E53" s="50" t="str">
        <x:v>User-26</x:v>
      </x:c>
      <x:c r="F53" s="50" t="str">
        <x:v>WS-114</x:v>
      </x:c>
      <x:c r="G53" s="50" t="str">
        <x:v>Microsoft 365</x:v>
      </x:c>
      <x:c r="H53" s="50" t="str">
        <x:v>Tier 2</x:v>
      </x:c>
      <x:c r="I53" s="50" t="str">
        <x:v>P2</x:v>
      </x:c>
      <x:c r="J53" s="50" t="str">
        <x:v>Escalated</x:v>
      </x:c>
      <x:c r="K53" s="55" t="n">
        <x:v>124</x:v>
      </x:c>
      <x:c r="L53" s="50" t="str">
        <x:v>No</x:v>
      </x:c>
      <x:c r="M53" s="50" t="str">
        <x:v>Network Admin</x:v>
      </x:c>
      <x:c r="N53" s="50" t="str">
        <x:v>Repaired profile or sign-in configuration</x:v>
      </x:c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50" t="str">
        <x:v>INC-2051</x:v>
      </x:c>
      <x:c r="B54" s="54" t="n">
        <x:v>46408.4625</x:v>
      </x:c>
      <x:c r="C54" s="50" t="str">
        <x:v>Project Site B</x:v>
      </x:c>
      <x:c r="D54" s="50" t="str">
        <x:v>In Person</x:v>
      </x:c>
      <x:c r="E54" s="50" t="str">
        <x:v>User-26</x:v>
      </x:c>
      <x:c r="F54" s="50" t="str">
        <x:v>WS-144</x:v>
      </x:c>
      <x:c r="G54" s="50" t="str">
        <x:v>Hardware</x:v>
      </x:c>
      <x:c r="H54" s="50" t="str">
        <x:v>Tier 1</x:v>
      </x:c>
      <x:c r="I54" s="50" t="str">
        <x:v>P4</x:v>
      </x:c>
      <x:c r="J54" s="50" t="str">
        <x:v>Resolved</x:v>
      </x:c>
      <x:c r="K54" s="55" t="n">
        <x:v>105</x:v>
      </x:c>
      <x:c r="L54" s="50" t="str">
        <x:v>Yes</x:v>
      </x:c>
      <x:c r="M54" s="50" t="str">
        <x:v>None</x:v>
      </x:c>
      <x:c r="N54" s="50" t="str">
        <x:v>Replaced or reseated affected hardware</x:v>
      </x:c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50" t="str">
        <x:v>INC-2052</x:v>
      </x:c>
      <x:c r="B55" s="54" t="n">
        <x:v>46414.47152777778</x:v>
      </x:c>
      <x:c r="C55" s="50" t="str">
        <x:v>Winnipeg Office</x:v>
      </x:c>
      <x:c r="D55" s="50" t="str">
        <x:v>In Person</x:v>
      </x:c>
      <x:c r="E55" s="50" t="str">
        <x:v>User-06</x:v>
      </x:c>
      <x:c r="F55" s="50" t="str">
        <x:v>WS-162</x:v>
      </x:c>
      <x:c r="G55" s="50" t="str">
        <x:v>Printer</x:v>
      </x:c>
      <x:c r="H55" s="50" t="str">
        <x:v>Tier 2</x:v>
      </x:c>
      <x:c r="I55" s="50" t="str">
        <x:v>P4</x:v>
      </x:c>
      <x:c r="J55" s="50" t="str">
        <x:v>Resolved</x:v>
      </x:c>
      <x:c r="K55" s="55" t="n">
        <x:v>48</x:v>
      </x:c>
      <x:c r="L55" s="50" t="str">
        <x:v>Yes</x:v>
      </x:c>
      <x:c r="M55" s="50" t="str">
        <x:v>Systems Admin</x:v>
      </x:c>
      <x:c r="N55" s="50" t="str">
        <x:v>Cleared queue / reconnected printer</x:v>
      </x:c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50" t="str">
        <x:v>INC-2053</x:v>
      </x:c>
      <x:c r="B56" s="54" t="n">
        <x:v>46392.927777777775</x:v>
      </x:c>
      <x:c r="C56" s="50" t="str">
        <x:v>Winnipeg Office</x:v>
      </x:c>
      <x:c r="D56" s="50" t="str">
        <x:v>Phone</x:v>
      </x:c>
      <x:c r="E56" s="50" t="str">
        <x:v>User-23</x:v>
      </x:c>
      <x:c r="F56" s="50" t="str">
        <x:v>WS-146</x:v>
      </x:c>
      <x:c r="G56" s="50" t="str">
        <x:v>Software Install</x:v>
      </x:c>
      <x:c r="H56" s="50" t="str">
        <x:v>Tier 1</x:v>
      </x:c>
      <x:c r="I56" s="50" t="str">
        <x:v>P3</x:v>
      </x:c>
      <x:c r="J56" s="50" t="str">
        <x:v>Resolved</x:v>
      </x:c>
      <x:c r="K56" s="55" t="n">
        <x:v>169</x:v>
      </x:c>
      <x:c r="L56" s="50" t="str">
        <x:v>Yes</x:v>
      </x:c>
      <x:c r="M56" s="50" t="str">
        <x:v>None</x:v>
      </x:c>
      <x:c r="N56" s="50" t="str">
        <x:v>Installed or repaired approved software</x:v>
      </x:c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50" t="str">
        <x:v>INC-2054</x:v>
      </x:c>
      <x:c r="B57" s="54" t="n">
        <x:v>46391.907638888886</x:v>
      </x:c>
      <x:c r="C57" s="50" t="str">
        <x:v>Winnipeg Office</x:v>
      </x:c>
      <x:c r="D57" s="50" t="str">
        <x:v>In Person</x:v>
      </x:c>
      <x:c r="E57" s="50" t="str">
        <x:v>User-28</x:v>
      </x:c>
      <x:c r="F57" s="50" t="str">
        <x:v>WS-129</x:v>
      </x:c>
      <x:c r="G57" s="50" t="str">
        <x:v>Windows</x:v>
      </x:c>
      <x:c r="H57" s="50" t="str">
        <x:v>Tier 1</x:v>
      </x:c>
      <x:c r="I57" s="50" t="str">
        <x:v>P2</x:v>
      </x:c>
      <x:c r="J57" s="50" t="str">
        <x:v>Resolved</x:v>
      </x:c>
      <x:c r="K57" s="55" t="n">
        <x:v>82</x:v>
      </x:c>
      <x:c r="L57" s="50" t="str">
        <x:v>Yes</x:v>
      </x:c>
      <x:c r="M57" s="50" t="str">
        <x:v>Network Admin</x:v>
      </x:c>
      <x:c r="N57" s="50" t="str">
        <x:v>Applied update / configuration fix</x:v>
      </x:c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50" t="str">
        <x:v>INC-2055</x:v>
      </x:c>
      <x:c r="B58" s="54" t="n">
        <x:v>46400.663194444445</x:v>
      </x:c>
      <x:c r="C58" s="50" t="str">
        <x:v>Winnipeg Office</x:v>
      </x:c>
      <x:c r="D58" s="50" t="str">
        <x:v>Phone</x:v>
      </x:c>
      <x:c r="E58" s="50" t="str">
        <x:v>User-08</x:v>
      </x:c>
      <x:c r="F58" s="50" t="str">
        <x:v>WS-136</x:v>
      </x:c>
      <x:c r="G58" s="50" t="str">
        <x:v>Software Install</x:v>
      </x:c>
      <x:c r="H58" s="50" t="str">
        <x:v>Tier 1</x:v>
      </x:c>
      <x:c r="I58" s="50" t="str">
        <x:v>P4</x:v>
      </x:c>
      <x:c r="J58" s="50" t="str">
        <x:v>Resolved</x:v>
      </x:c>
      <x:c r="K58" s="55" t="n">
        <x:v>50</x:v>
      </x:c>
      <x:c r="L58" s="50" t="str">
        <x:v>Yes</x:v>
      </x:c>
      <x:c r="M58" s="50" t="str">
        <x:v>None</x:v>
      </x:c>
      <x:c r="N58" s="50" t="str">
        <x:v>Installed or repaired approved software</x:v>
      </x:c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50" t="str">
        <x:v>INC-2056</x:v>
      </x:c>
      <x:c r="B59" s="54" t="n">
        <x:v>46395.84097222222</x:v>
      </x:c>
      <x:c r="C59" s="50" t="str">
        <x:v>Project Site C</x:v>
      </x:c>
      <x:c r="D59" s="50" t="str">
        <x:v>In Person</x:v>
      </x:c>
      <x:c r="E59" s="50" t="str">
        <x:v>User-10</x:v>
      </x:c>
      <x:c r="F59" s="50" t="str">
        <x:v>WS-121</x:v>
      </x:c>
      <x:c r="G59" s="50" t="str">
        <x:v>Windows</x:v>
      </x:c>
      <x:c r="H59" s="50" t="str">
        <x:v>Tier 2</x:v>
      </x:c>
      <x:c r="I59" s="50" t="str">
        <x:v>P4</x:v>
      </x:c>
      <x:c r="J59" s="50" t="str">
        <x:v>Open</x:v>
      </x:c>
      <x:c r="K59" s="55" t="n">
        <x:v>0</x:v>
      </x:c>
      <x:c r="L59" s="50" t="str">
        <x:v>No</x:v>
      </x:c>
      <x:c r="M59" s="50" t="str">
        <x:v>None</x:v>
      </x:c>
      <x:c r="N59" s="50" t="str">
        <x:v>Pending further troubleshooting</x:v>
      </x:c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50" t="str">
        <x:v>INC-2057</x:v>
      </x:c>
      <x:c r="B60" s="54" t="n">
        <x:v>46415.19513888889</x:v>
      </x:c>
      <x:c r="C60" s="50" t="str">
        <x:v>Project Site B</x:v>
      </x:c>
      <x:c r="D60" s="50" t="str">
        <x:v>Phone</x:v>
      </x:c>
      <x:c r="E60" s="50" t="str">
        <x:v>User-25</x:v>
      </x:c>
      <x:c r="F60" s="50" t="str">
        <x:v>WS-146</x:v>
      </x:c>
      <x:c r="G60" s="50" t="str">
        <x:v>Login / Access</x:v>
      </x:c>
      <x:c r="H60" s="50" t="str">
        <x:v>Tier 1</x:v>
      </x:c>
      <x:c r="I60" s="50" t="str">
        <x:v>P3</x:v>
      </x:c>
      <x:c r="J60" s="50" t="str">
        <x:v>Resolved</x:v>
      </x:c>
      <x:c r="K60" s="55" t="n">
        <x:v>57</x:v>
      </x:c>
      <x:c r="L60" s="50" t="str">
        <x:v>Yes</x:v>
      </x:c>
      <x:c r="M60" s="50" t="str">
        <x:v>None</x:v>
      </x:c>
      <x:c r="N60" s="50" t="str">
        <x:v>Validated account and access requirements</x:v>
      </x:c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50" t="str">
        <x:v>INC-2058</x:v>
      </x:c>
      <x:c r="B61" s="54" t="n">
        <x:v>46400.986805555556</x:v>
      </x:c>
      <x:c r="C61" s="50" t="str">
        <x:v>Project Site C</x:v>
      </x:c>
      <x:c r="D61" s="50" t="str">
        <x:v>Phone</x:v>
      </x:c>
      <x:c r="E61" s="50" t="str">
        <x:v>User-29</x:v>
      </x:c>
      <x:c r="F61" s="50" t="str">
        <x:v>WS-148</x:v>
      </x:c>
      <x:c r="G61" s="50" t="str">
        <x:v>Printer</x:v>
      </x:c>
      <x:c r="H61" s="50" t="str">
        <x:v>Tier 1</x:v>
      </x:c>
      <x:c r="I61" s="50" t="str">
        <x:v>P4</x:v>
      </x:c>
      <x:c r="J61" s="50" t="str">
        <x:v>Resolved</x:v>
      </x:c>
      <x:c r="K61" s="55" t="n">
        <x:v>155</x:v>
      </x:c>
      <x:c r="L61" s="50" t="str">
        <x:v>Yes</x:v>
      </x:c>
      <x:c r="M61" s="50" t="str">
        <x:v>Systems Admin</x:v>
      </x:c>
      <x:c r="N61" s="50" t="str">
        <x:v>Cleared queue / reconnected printer</x:v>
      </x:c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50" t="str">
        <x:v>INC-2059</x:v>
      </x:c>
      <x:c r="B62" s="54" t="n">
        <x:v>46398.52777777778</x:v>
      </x:c>
      <x:c r="C62" s="50" t="str">
        <x:v>Project Site B</x:v>
      </x:c>
      <x:c r="D62" s="50" t="str">
        <x:v>Phone</x:v>
      </x:c>
      <x:c r="E62" s="50" t="str">
        <x:v>User-02</x:v>
      </x:c>
      <x:c r="F62" s="50" t="str">
        <x:v>WS-133</x:v>
      </x:c>
      <x:c r="G62" s="50" t="str">
        <x:v>Microsoft 365</x:v>
      </x:c>
      <x:c r="H62" s="50" t="str">
        <x:v>Tier 2</x:v>
      </x:c>
      <x:c r="I62" s="50" t="str">
        <x:v>P3</x:v>
      </x:c>
      <x:c r="J62" s="50" t="str">
        <x:v>Escalated</x:v>
      </x:c>
      <x:c r="K62" s="55" t="n">
        <x:v>8</x:v>
      </x:c>
      <x:c r="L62" s="50" t="str">
        <x:v>Yes</x:v>
      </x:c>
      <x:c r="M62" s="50" t="str">
        <x:v>None</x:v>
      </x:c>
      <x:c r="N62" s="50" t="str">
        <x:v>Repaired profile or sign-in configuration</x:v>
      </x:c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50" t="str">
        <x:v>INC-2060</x:v>
      </x:c>
      <x:c r="B63" s="54" t="n">
        <x:v>46395.44930555556</x:v>
      </x:c>
      <x:c r="C63" s="50" t="str">
        <x:v>Project Site C</x:v>
      </x:c>
      <x:c r="D63" s="50" t="str">
        <x:v>In Person</x:v>
      </x:c>
      <x:c r="E63" s="50" t="str">
        <x:v>User-03</x:v>
      </x:c>
      <x:c r="F63" s="50" t="str">
        <x:v>WS-162</x:v>
      </x:c>
      <x:c r="G63" s="50" t="str">
        <x:v>Network Connectivity</x:v>
      </x:c>
      <x:c r="H63" s="50" t="str">
        <x:v>Tier 2</x:v>
      </x:c>
      <x:c r="I63" s="50" t="str">
        <x:v>P2</x:v>
      </x:c>
      <x:c r="J63" s="50" t="str">
        <x:v>Resolved</x:v>
      </x:c>
      <x:c r="K63" s="55" t="n">
        <x:v>41</x:v>
      </x:c>
      <x:c r="L63" s="50" t="str">
        <x:v>Yes</x:v>
      </x:c>
      <x:c r="M63" s="50" t="str">
        <x:v>None</x:v>
      </x:c>
      <x:c r="N63" s="50" t="str">
        <x:v>Validated IP/DNS and restored connectivity</x:v>
      </x:c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50" t="str">
        <x:v>INC-2061</x:v>
      </x:c>
      <x:c r="B64" s="54" t="n">
        <x:v>46411.38055555556</x:v>
      </x:c>
      <x:c r="C64" s="50" t="str">
        <x:v>Project Site A</x:v>
      </x:c>
      <x:c r="D64" s="50" t="str">
        <x:v>Phone</x:v>
      </x:c>
      <x:c r="E64" s="50" t="str">
        <x:v>User-27</x:v>
      </x:c>
      <x:c r="F64" s="50" t="str">
        <x:v>WS-160</x:v>
      </x:c>
      <x:c r="G64" s="50" t="str">
        <x:v>Windows</x:v>
      </x:c>
      <x:c r="H64" s="50" t="str">
        <x:v>Tier 2</x:v>
      </x:c>
      <x:c r="I64" s="50" t="str">
        <x:v>P4</x:v>
      </x:c>
      <x:c r="J64" s="50" t="str">
        <x:v>Resolved</x:v>
      </x:c>
      <x:c r="K64" s="55" t="n">
        <x:v>155</x:v>
      </x:c>
      <x:c r="L64" s="50" t="str">
        <x:v>No</x:v>
      </x:c>
      <x:c r="M64" s="50" t="str">
        <x:v>Systems Admin</x:v>
      </x:c>
      <x:c r="N64" s="50" t="str">
        <x:v>Applied update / configuration fix</x:v>
      </x:c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50" t="str">
        <x:v>INC-2062</x:v>
      </x:c>
      <x:c r="B65" s="54" t="n">
        <x:v>46407.31805555556</x:v>
      </x:c>
      <x:c r="C65" s="50" t="str">
        <x:v>Winnipeg Office</x:v>
      </x:c>
      <x:c r="D65" s="50" t="str">
        <x:v>Phone</x:v>
      </x:c>
      <x:c r="E65" s="50" t="str">
        <x:v>User-08</x:v>
      </x:c>
      <x:c r="F65" s="50" t="str">
        <x:v>WS-174</x:v>
      </x:c>
      <x:c r="G65" s="50" t="str">
        <x:v>Network Connectivity</x:v>
      </x:c>
      <x:c r="H65" s="50" t="str">
        <x:v>Tier 1</x:v>
      </x:c>
      <x:c r="I65" s="50" t="str">
        <x:v>P3</x:v>
      </x:c>
      <x:c r="J65" s="50" t="str">
        <x:v>Resolved</x:v>
      </x:c>
      <x:c r="K65" s="55" t="n">
        <x:v>22</x:v>
      </x:c>
      <x:c r="L65" s="50" t="str">
        <x:v>Yes</x:v>
      </x:c>
      <x:c r="M65" s="50" t="str">
        <x:v>Network Admin</x:v>
      </x:c>
      <x:c r="N65" s="50" t="str">
        <x:v>Validated IP/DNS and restored connectivity</x:v>
      </x:c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50" t="str">
        <x:v>INC-2063</x:v>
      </x:c>
      <x:c r="B66" s="54" t="n">
        <x:v>46396.81319444445</x:v>
      </x:c>
      <x:c r="C66" s="50" t="str">
        <x:v>Winnipeg Office</x:v>
      </x:c>
      <x:c r="D66" s="50" t="str">
        <x:v>In Person</x:v>
      </x:c>
      <x:c r="E66" s="50" t="str">
        <x:v>User-12</x:v>
      </x:c>
      <x:c r="F66" s="50" t="str">
        <x:v>WS-157</x:v>
      </x:c>
      <x:c r="G66" s="50" t="str">
        <x:v>Windows</x:v>
      </x:c>
      <x:c r="H66" s="50" t="str">
        <x:v>Tier 1</x:v>
      </x:c>
      <x:c r="I66" s="50" t="str">
        <x:v>P3</x:v>
      </x:c>
      <x:c r="J66" s="50" t="str">
        <x:v>Resolved</x:v>
      </x:c>
      <x:c r="K66" s="55" t="n">
        <x:v>42</x:v>
      </x:c>
      <x:c r="L66" s="50" t="str">
        <x:v>Yes</x:v>
      </x:c>
      <x:c r="M66" s="50" t="str">
        <x:v>None</x:v>
      </x:c>
      <x:c r="N66" s="50" t="str">
        <x:v>Applied update / configuration fix</x:v>
      </x:c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50" t="str">
        <x:v>INC-2064</x:v>
      </x:c>
      <x:c r="B67" s="54" t="n">
        <x:v>46405.884722222225</x:v>
      </x:c>
      <x:c r="C67" s="50" t="str">
        <x:v>Winnipeg Office</x:v>
      </x:c>
      <x:c r="D67" s="50" t="str">
        <x:v>In Person</x:v>
      </x:c>
      <x:c r="E67" s="50" t="str">
        <x:v>User-17</x:v>
      </x:c>
      <x:c r="F67" s="50" t="str">
        <x:v>WS-169</x:v>
      </x:c>
      <x:c r="G67" s="50" t="str">
        <x:v>Network Connectivity</x:v>
      </x:c>
      <x:c r="H67" s="50" t="str">
        <x:v>Tier 2</x:v>
      </x:c>
      <x:c r="I67" s="50" t="str">
        <x:v>P2</x:v>
      </x:c>
      <x:c r="J67" s="50" t="str">
        <x:v>Resolved</x:v>
      </x:c>
      <x:c r="K67" s="55" t="n">
        <x:v>154</x:v>
      </x:c>
      <x:c r="L67" s="50" t="str">
        <x:v>Yes</x:v>
      </x:c>
      <x:c r="M67" s="50" t="str">
        <x:v>Network Admin</x:v>
      </x:c>
      <x:c r="N67" s="50" t="str">
        <x:v>Validated IP/DNS and restored connectivity</x:v>
      </x:c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50" t="str">
        <x:v>INC-2065</x:v>
      </x:c>
      <x:c r="B68" s="54" t="n">
        <x:v>46402.15</x:v>
      </x:c>
      <x:c r="C68" s="50" t="str">
        <x:v>Project Site A</x:v>
      </x:c>
      <x:c r="D68" s="50" t="str">
        <x:v>In Person</x:v>
      </x:c>
      <x:c r="E68" s="50" t="str">
        <x:v>User-10</x:v>
      </x:c>
      <x:c r="F68" s="50" t="str">
        <x:v>WS-138</x:v>
      </x:c>
      <x:c r="G68" s="50" t="str">
        <x:v>Software Install</x:v>
      </x:c>
      <x:c r="H68" s="50" t="str">
        <x:v>Tier 1</x:v>
      </x:c>
      <x:c r="I68" s="50" t="str">
        <x:v>P3</x:v>
      </x:c>
      <x:c r="J68" s="50" t="str">
        <x:v>Resolved</x:v>
      </x:c>
      <x:c r="K68" s="55" t="n">
        <x:v>100</x:v>
      </x:c>
      <x:c r="L68" s="50" t="str">
        <x:v>Yes</x:v>
      </x:c>
      <x:c r="M68" s="50" t="str">
        <x:v>None</x:v>
      </x:c>
      <x:c r="N68" s="50" t="str">
        <x:v>Installed or repaired approved software</x:v>
      </x:c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50" t="str">
        <x:v>INC-2066</x:v>
      </x:c>
      <x:c r="B69" s="54" t="n">
        <x:v>46406.33125</x:v>
      </x:c>
      <x:c r="C69" s="50" t="str">
        <x:v>Project Site C</x:v>
      </x:c>
      <x:c r="D69" s="50" t="str">
        <x:v>In Person</x:v>
      </x:c>
      <x:c r="E69" s="50" t="str">
        <x:v>User-21</x:v>
      </x:c>
      <x:c r="F69" s="50" t="str">
        <x:v>WS-176</x:v>
      </x:c>
      <x:c r="G69" s="50" t="str">
        <x:v>Login / Access</x:v>
      </x:c>
      <x:c r="H69" s="50" t="str">
        <x:v>Tier 1</x:v>
      </x:c>
      <x:c r="I69" s="50" t="str">
        <x:v>P4</x:v>
      </x:c>
      <x:c r="J69" s="50" t="str">
        <x:v>Resolved</x:v>
      </x:c>
      <x:c r="K69" s="55" t="n">
        <x:v>97</x:v>
      </x:c>
      <x:c r="L69" s="50" t="str">
        <x:v>No</x:v>
      </x:c>
      <x:c r="M69" s="50" t="str">
        <x:v>None</x:v>
      </x:c>
      <x:c r="N69" s="50" t="str">
        <x:v>Validated account and access requirements</x:v>
      </x:c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50" t="str">
        <x:v>INC-2067</x:v>
      </x:c>
      <x:c r="B70" s="54" t="n">
        <x:v>46414.96319444444</x:v>
      </x:c>
      <x:c r="C70" s="50" t="str">
        <x:v>Project Site C</x:v>
      </x:c>
      <x:c r="D70" s="50" t="str">
        <x:v>In Person</x:v>
      </x:c>
      <x:c r="E70" s="50" t="str">
        <x:v>User-04</x:v>
      </x:c>
      <x:c r="F70" s="50" t="str">
        <x:v>WS-136</x:v>
      </x:c>
      <x:c r="G70" s="50" t="str">
        <x:v>Windows</x:v>
      </x:c>
      <x:c r="H70" s="50" t="str">
        <x:v>Tier 2</x:v>
      </x:c>
      <x:c r="I70" s="50" t="str">
        <x:v>P3</x:v>
      </x:c>
      <x:c r="J70" s="50" t="str">
        <x:v>Resolved</x:v>
      </x:c>
      <x:c r="K70" s="55" t="n">
        <x:v>181</x:v>
      </x:c>
      <x:c r="L70" s="50" t="str">
        <x:v>Yes</x:v>
      </x:c>
      <x:c r="M70" s="50" t="str">
        <x:v>None</x:v>
      </x:c>
      <x:c r="N70" s="50" t="str">
        <x:v>Applied update / configuration fix</x:v>
      </x:c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50" t="str">
        <x:v>INC-2068</x:v>
      </x:c>
      <x:c r="B71" s="54" t="n">
        <x:v>46398.35902777778</x:v>
      </x:c>
      <x:c r="C71" s="50" t="str">
        <x:v>Project Site A</x:v>
      </x:c>
      <x:c r="D71" s="50" t="str">
        <x:v>In Person</x:v>
      </x:c>
      <x:c r="E71" s="50" t="str">
        <x:v>User-07</x:v>
      </x:c>
      <x:c r="F71" s="50" t="str">
        <x:v>WS-134</x:v>
      </x:c>
      <x:c r="G71" s="50" t="str">
        <x:v>Login / Access</x:v>
      </x:c>
      <x:c r="H71" s="50" t="str">
        <x:v>Tier 1</x:v>
      </x:c>
      <x:c r="I71" s="50" t="str">
        <x:v>P3</x:v>
      </x:c>
      <x:c r="J71" s="50" t="str">
        <x:v>Resolved</x:v>
      </x:c>
      <x:c r="K71" s="55" t="n">
        <x:v>26</x:v>
      </x:c>
      <x:c r="L71" s="50" t="str">
        <x:v>No</x:v>
      </x:c>
      <x:c r="M71" s="50" t="str">
        <x:v>None</x:v>
      </x:c>
      <x:c r="N71" s="50" t="str">
        <x:v>Validated account and access requirements</x:v>
      </x:c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50" t="str">
        <x:v>INC-2069</x:v>
      </x:c>
      <x:c r="B72" s="54" t="n">
        <x:v>46400.745833333334</x:v>
      </x:c>
      <x:c r="C72" s="50" t="str">
        <x:v>Project Site C</x:v>
      </x:c>
      <x:c r="D72" s="50" t="str">
        <x:v>In Person</x:v>
      </x:c>
      <x:c r="E72" s="50" t="str">
        <x:v>User-08</x:v>
      </x:c>
      <x:c r="F72" s="50" t="str">
        <x:v>WS-120</x:v>
      </x:c>
      <x:c r="G72" s="50" t="str">
        <x:v>Hardware</x:v>
      </x:c>
      <x:c r="H72" s="50" t="str">
        <x:v>Tier 2</x:v>
      </x:c>
      <x:c r="I72" s="50" t="str">
        <x:v>P4</x:v>
      </x:c>
      <x:c r="J72" s="50" t="str">
        <x:v>Escalated</x:v>
      </x:c>
      <x:c r="K72" s="55" t="n">
        <x:v>118</x:v>
      </x:c>
      <x:c r="L72" s="50" t="str">
        <x:v>Yes</x:v>
      </x:c>
      <x:c r="M72" s="50" t="str">
        <x:v>Office Admin</x:v>
      </x:c>
      <x:c r="N72" s="50" t="str">
        <x:v>Replaced or reseated affected hardware</x:v>
      </x:c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50" t="str">
        <x:v>INC-2070</x:v>
      </x:c>
      <x:c r="B73" s="54" t="n">
        <x:v>46395.25486111111</x:v>
      </x:c>
      <x:c r="C73" s="50" t="str">
        <x:v>Project Site B</x:v>
      </x:c>
      <x:c r="D73" s="50" t="str">
        <x:v>In Person</x:v>
      </x:c>
      <x:c r="E73" s="50" t="str">
        <x:v>User-13</x:v>
      </x:c>
      <x:c r="F73" s="50" t="str">
        <x:v>WS-106</x:v>
      </x:c>
      <x:c r="G73" s="50" t="str">
        <x:v>Peripheral / Dock</x:v>
      </x:c>
      <x:c r="H73" s="50" t="str">
        <x:v>Tier 1</x:v>
      </x:c>
      <x:c r="I73" s="50" t="str">
        <x:v>P3</x:v>
      </x:c>
      <x:c r="J73" s="50" t="str">
        <x:v>Resolved</x:v>
      </x:c>
      <x:c r="K73" s="55" t="n">
        <x:v>83</x:v>
      </x:c>
      <x:c r="L73" s="50" t="str">
        <x:v>No</x:v>
      </x:c>
      <x:c r="M73" s="50" t="str">
        <x:v>None</x:v>
      </x:c>
      <x:c r="N73" s="50" t="str">
        <x:v>Reconnected / replaced peripheral or dock</x:v>
      </x:c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50" t="str">
        <x:v>INC-2071</x:v>
      </x:c>
      <x:c r="B74" s="54" t="n">
        <x:v>46408.18263888889</x:v>
      </x:c>
      <x:c r="C74" s="50" t="str">
        <x:v>Winnipeg Office</x:v>
      </x:c>
      <x:c r="D74" s="50" t="str">
        <x:v>Phone</x:v>
      </x:c>
      <x:c r="E74" s="50" t="str">
        <x:v>User-19</x:v>
      </x:c>
      <x:c r="F74" s="50" t="str">
        <x:v>WS-156</x:v>
      </x:c>
      <x:c r="G74" s="50" t="str">
        <x:v>Windows</x:v>
      </x:c>
      <x:c r="H74" s="50" t="str">
        <x:v>Tier 2</x:v>
      </x:c>
      <x:c r="I74" s="50" t="str">
        <x:v>P4</x:v>
      </x:c>
      <x:c r="J74" s="50" t="str">
        <x:v>Resolved</x:v>
      </x:c>
      <x:c r="K74" s="55" t="n">
        <x:v>54</x:v>
      </x:c>
      <x:c r="L74" s="50" t="str">
        <x:v>Yes</x:v>
      </x:c>
      <x:c r="M74" s="50" t="str">
        <x:v>Network Admin</x:v>
      </x:c>
      <x:c r="N74" s="50" t="str">
        <x:v>Applied update / configuration fix</x:v>
      </x:c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50" t="str">
        <x:v>INC-2072</x:v>
      </x:c>
      <x:c r="B75" s="54" t="n">
        <x:v>46403.425</x:v>
      </x:c>
      <x:c r="C75" s="50" t="str">
        <x:v>Project Site C</x:v>
      </x:c>
      <x:c r="D75" s="50" t="str">
        <x:v>In Person</x:v>
      </x:c>
      <x:c r="E75" s="50" t="str">
        <x:v>User-06</x:v>
      </x:c>
      <x:c r="F75" s="50" t="str">
        <x:v>WS-114</x:v>
      </x:c>
      <x:c r="G75" s="50" t="str">
        <x:v>Windows</x:v>
      </x:c>
      <x:c r="H75" s="50" t="str">
        <x:v>Tier 1</x:v>
      </x:c>
      <x:c r="I75" s="50" t="str">
        <x:v>P4</x:v>
      </x:c>
      <x:c r="J75" s="50" t="str">
        <x:v>Escalated</x:v>
      </x:c>
      <x:c r="K75" s="55" t="n">
        <x:v>114</x:v>
      </x:c>
      <x:c r="L75" s="50" t="str">
        <x:v>Yes</x:v>
      </x:c>
      <x:c r="M75" s="50" t="str">
        <x:v>Vendor</x:v>
      </x:c>
      <x:c r="N75" s="50" t="str">
        <x:v>Applied update / configuration fix</x:v>
      </x:c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50" t="str">
        <x:v>INC-2073</x:v>
      </x:c>
      <x:c r="B76" s="54" t="n">
        <x:v>46415.45138888889</x:v>
      </x:c>
      <x:c r="C76" s="50" t="str">
        <x:v>Project Site A</x:v>
      </x:c>
      <x:c r="D76" s="50" t="str">
        <x:v>In Person</x:v>
      </x:c>
      <x:c r="E76" s="50" t="str">
        <x:v>User-03</x:v>
      </x:c>
      <x:c r="F76" s="50" t="str">
        <x:v>WS-119</x:v>
      </x:c>
      <x:c r="G76" s="50" t="str">
        <x:v>Peripheral / Dock</x:v>
      </x:c>
      <x:c r="H76" s="50" t="str">
        <x:v>Tier 2</x:v>
      </x:c>
      <x:c r="I76" s="50" t="str">
        <x:v>P2</x:v>
      </x:c>
      <x:c r="J76" s="50" t="str">
        <x:v>Escalated</x:v>
      </x:c>
      <x:c r="K76" s="55" t="n">
        <x:v>160</x:v>
      </x:c>
      <x:c r="L76" s="50" t="str">
        <x:v>Yes</x:v>
      </x:c>
      <x:c r="M76" s="50" t="str">
        <x:v>Systems Admin</x:v>
      </x:c>
      <x:c r="N76" s="50" t="str">
        <x:v>Reconnected / replaced peripheral or dock</x:v>
      </x:c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50" t="str">
        <x:v>INC-2074</x:v>
      </x:c>
      <x:c r="B77" s="54" t="n">
        <x:v>46398.04791666667</x:v>
      </x:c>
      <x:c r="C77" s="50" t="str">
        <x:v>Project Site A</x:v>
      </x:c>
      <x:c r="D77" s="50" t="str">
        <x:v>Phone</x:v>
      </x:c>
      <x:c r="E77" s="50" t="str">
        <x:v>User-27</x:v>
      </x:c>
      <x:c r="F77" s="50" t="str">
        <x:v>WS-170</x:v>
      </x:c>
      <x:c r="G77" s="50" t="str">
        <x:v>Software Install</x:v>
      </x:c>
      <x:c r="H77" s="50" t="str">
        <x:v>Tier 1</x:v>
      </x:c>
      <x:c r="I77" s="50" t="str">
        <x:v>P4</x:v>
      </x:c>
      <x:c r="J77" s="50" t="str">
        <x:v>Escalated</x:v>
      </x:c>
      <x:c r="K77" s="55" t="n">
        <x:v>29</x:v>
      </x:c>
      <x:c r="L77" s="50" t="str">
        <x:v>No</x:v>
      </x:c>
      <x:c r="M77" s="50" t="str">
        <x:v>Office Admin</x:v>
      </x:c>
      <x:c r="N77" s="50" t="str">
        <x:v>Installed or repaired approved software</x:v>
      </x:c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50" t="str">
        <x:v>INC-2075</x:v>
      </x:c>
      <x:c r="B78" s="54" t="n">
        <x:v>46411.413194444445</x:v>
      </x:c>
      <x:c r="C78" s="50" t="str">
        <x:v>Project Site C</x:v>
      </x:c>
      <x:c r="D78" s="50" t="str">
        <x:v>Phone</x:v>
      </x:c>
      <x:c r="E78" s="50" t="str">
        <x:v>User-17</x:v>
      </x:c>
      <x:c r="F78" s="50" t="str">
        <x:v>WS-130</x:v>
      </x:c>
      <x:c r="G78" s="50" t="str">
        <x:v>Network Connectivity</x:v>
      </x:c>
      <x:c r="H78" s="50" t="str">
        <x:v>Tier 1</x:v>
      </x:c>
      <x:c r="I78" s="50" t="str">
        <x:v>P2</x:v>
      </x:c>
      <x:c r="J78" s="50" t="str">
        <x:v>Resolved</x:v>
      </x:c>
      <x:c r="K78" s="55" t="n">
        <x:v>23</x:v>
      </x:c>
      <x:c r="L78" s="50" t="str">
        <x:v>Yes</x:v>
      </x:c>
      <x:c r="M78" s="50" t="str">
        <x:v>Network Admin</x:v>
      </x:c>
      <x:c r="N78" s="50" t="str">
        <x:v>Validated IP/DNS and restored connectivity</x:v>
      </x:c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50" t="str">
        <x:v>INC-2076</x:v>
      </x:c>
      <x:c r="B79" s="54" t="n">
        <x:v>46408.57638888889</x:v>
      </x:c>
      <x:c r="C79" s="50" t="str">
        <x:v>Project Site C</x:v>
      </x:c>
      <x:c r="D79" s="50" t="str">
        <x:v>In Person</x:v>
      </x:c>
      <x:c r="E79" s="50" t="str">
        <x:v>User-04</x:v>
      </x:c>
      <x:c r="F79" s="50" t="str">
        <x:v>WS-130</x:v>
      </x:c>
      <x:c r="G79" s="50" t="str">
        <x:v>Printer</x:v>
      </x:c>
      <x:c r="H79" s="50" t="str">
        <x:v>Tier 2</x:v>
      </x:c>
      <x:c r="I79" s="50" t="str">
        <x:v>P3</x:v>
      </x:c>
      <x:c r="J79" s="50" t="str">
        <x:v>Resolved</x:v>
      </x:c>
      <x:c r="K79" s="55" t="n">
        <x:v>39</x:v>
      </x:c>
      <x:c r="L79" s="50" t="str">
        <x:v>Yes</x:v>
      </x:c>
      <x:c r="M79" s="50" t="str">
        <x:v>None</x:v>
      </x:c>
      <x:c r="N79" s="50" t="str">
        <x:v>Cleared queue / reconnected printer</x:v>
      </x:c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50" t="str">
        <x:v>INC-2077</x:v>
      </x:c>
      <x:c r="B80" s="54" t="n">
        <x:v>46403.270833333336</x:v>
      </x:c>
      <x:c r="C80" s="50" t="str">
        <x:v>Winnipeg Office</x:v>
      </x:c>
      <x:c r="D80" s="50" t="str">
        <x:v>In Person</x:v>
      </x:c>
      <x:c r="E80" s="50" t="str">
        <x:v>User-25</x:v>
      </x:c>
      <x:c r="F80" s="50" t="str">
        <x:v>WS-179</x:v>
      </x:c>
      <x:c r="G80" s="50" t="str">
        <x:v>Login / Access</x:v>
      </x:c>
      <x:c r="H80" s="50" t="str">
        <x:v>Tier 1</x:v>
      </x:c>
      <x:c r="I80" s="50" t="str">
        <x:v>P3</x:v>
      </x:c>
      <x:c r="J80" s="50" t="str">
        <x:v>Escalated</x:v>
      </x:c>
      <x:c r="K80" s="55" t="n">
        <x:v>59</x:v>
      </x:c>
      <x:c r="L80" s="50" t="str">
        <x:v>No</x:v>
      </x:c>
      <x:c r="M80" s="50" t="str">
        <x:v>Network Admin</x:v>
      </x:c>
      <x:c r="N80" s="50" t="str">
        <x:v>Validated account and access requirements</x:v>
      </x:c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50" t="str">
        <x:v>INC-2078</x:v>
      </x:c>
      <x:c r="B81" s="54" t="n">
        <x:v>46393.90972222222</x:v>
      </x:c>
      <x:c r="C81" s="50" t="str">
        <x:v>Project Site B</x:v>
      </x:c>
      <x:c r="D81" s="50" t="str">
        <x:v>In Person</x:v>
      </x:c>
      <x:c r="E81" s="50" t="str">
        <x:v>User-18</x:v>
      </x:c>
      <x:c r="F81" s="50" t="str">
        <x:v>WS-102</x:v>
      </x:c>
      <x:c r="G81" s="50" t="str">
        <x:v>Network Connectivity</x:v>
      </x:c>
      <x:c r="H81" s="50" t="str">
        <x:v>Tier 1</x:v>
      </x:c>
      <x:c r="I81" s="50" t="str">
        <x:v>P4</x:v>
      </x:c>
      <x:c r="J81" s="50" t="str">
        <x:v>Resolved</x:v>
      </x:c>
      <x:c r="K81" s="55" t="n">
        <x:v>98</x:v>
      </x:c>
      <x:c r="L81" s="50" t="str">
        <x:v>No</x:v>
      </x:c>
      <x:c r="M81" s="50" t="str">
        <x:v>None</x:v>
      </x:c>
      <x:c r="N81" s="50" t="str">
        <x:v>Validated IP/DNS and restored connectivity</x:v>
      </x:c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50" t="str">
        <x:v>INC-2079</x:v>
      </x:c>
      <x:c r="B82" s="54" t="n">
        <x:v>46408.99444444444</x:v>
      </x:c>
      <x:c r="C82" s="50" t="str">
        <x:v>Project Site B</x:v>
      </x:c>
      <x:c r="D82" s="50" t="str">
        <x:v>Phone</x:v>
      </x:c>
      <x:c r="E82" s="50" t="str">
        <x:v>User-27</x:v>
      </x:c>
      <x:c r="F82" s="50" t="str">
        <x:v>WS-180</x:v>
      </x:c>
      <x:c r="G82" s="50" t="str">
        <x:v>Peripheral / Dock</x:v>
      </x:c>
      <x:c r="H82" s="50" t="str">
        <x:v>Tier 1</x:v>
      </x:c>
      <x:c r="I82" s="50" t="str">
        <x:v>P2</x:v>
      </x:c>
      <x:c r="J82" s="50" t="str">
        <x:v>Open</x:v>
      </x:c>
      <x:c r="K82" s="55" t="n">
        <x:v>0</x:v>
      </x:c>
      <x:c r="L82" s="50" t="str">
        <x:v>Yes</x:v>
      </x:c>
      <x:c r="M82" s="50" t="str">
        <x:v>None</x:v>
      </x:c>
      <x:c r="N82" s="50" t="str">
        <x:v>Pending further troubleshooting</x:v>
      </x:c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50" t="str">
        <x:v>INC-2080</x:v>
      </x:c>
      <x:c r="B83" s="54" t="n">
        <x:v>46404.143055555556</x:v>
      </x:c>
      <x:c r="C83" s="50" t="str">
        <x:v>Project Site B</x:v>
      </x:c>
      <x:c r="D83" s="50" t="str">
        <x:v>In Person</x:v>
      </x:c>
      <x:c r="E83" s="50" t="str">
        <x:v>User-23</x:v>
      </x:c>
      <x:c r="F83" s="50" t="str">
        <x:v>WS-123</x:v>
      </x:c>
      <x:c r="G83" s="50" t="str">
        <x:v>Windows</x:v>
      </x:c>
      <x:c r="H83" s="50" t="str">
        <x:v>Tier 2</x:v>
      </x:c>
      <x:c r="I83" s="50" t="str">
        <x:v>P4</x:v>
      </x:c>
      <x:c r="J83" s="50" t="str">
        <x:v>Resolved</x:v>
      </x:c>
      <x:c r="K83" s="55" t="n">
        <x:v>143</x:v>
      </x:c>
      <x:c r="L83" s="50" t="str">
        <x:v>No</x:v>
      </x:c>
      <x:c r="M83" s="50" t="str">
        <x:v>None</x:v>
      </x:c>
      <x:c r="N83" s="50" t="str">
        <x:v>Applied update / configuration fix</x:v>
      </x:c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</x:sheetData>
  <x:mergeCells>
    <x:mergeCell ref="A1:N1"/>
  </x:mergeCells>
  <x:conditionalFormatting sqref="I4:I83">
    <x:cfRule type="expression" dxfId="0" priority="1">
      <x:formula>I4="P1"</x:formula>
    </x:cfRule>
    <x:cfRule type="expression" dxfId="1" priority="2">
      <x:formula>I4="P2"</x:formula>
    </x:cfRule>
  </x:conditionalFormatting>
  <x:conditionalFormatting sqref="J4:J83">
    <x:cfRule type="expression" dxfId="2" priority="3">
      <x:formula>J4="Resolved"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4" hidden="0" customWidth="1"/>
    <x:col min="4" max="4" width="18" hidden="0" customWidth="1"/>
    <x:col min="5" max="5" width="16" hidden="0" customWidth="1"/>
    <x:col min="6" max="6" width="13" hidden="0" customWidth="1"/>
    <x:col min="7" max="7" width="17" hidden="0" customWidth="1"/>
    <x:col min="8" max="8" width="12" hidden="0" customWidth="1"/>
    <x:col min="9" max="9" width="13" hidden="0" customWidth="1"/>
    <x:col min="10" max="10" width="9" hidden="0" customWidth="1"/>
    <x:col min="11" max="11" width="11" hidden="0" customWidth="1"/>
    <x:col min="12" max="12" width="26" hidden="0" customWidth="1"/>
  </x:cols>
  <x:sheetData>
    <x:row r="1">
      <x:c r="A1" s="5" t="str">
        <x:v>Simulated IT Equipment Inventory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26" t="str">
        <x:v>Asset Tag</x:v>
      </x:c>
      <x:c r="B3" s="26" t="str">
        <x:v>Type</x:v>
      </x:c>
      <x:c r="C3" s="26" t="str">
        <x:v>Manufacturer</x:v>
      </x:c>
      <x:c r="D3" s="26" t="str">
        <x:v>Model</x:v>
      </x:c>
      <x:c r="E3" s="26" t="str">
        <x:v>Serial</x:v>
      </x:c>
      <x:c r="F3" s="26" t="str">
        <x:v>Assigned User</x:v>
      </x:c>
      <x:c r="G3" s="26" t="str">
        <x:v>Location</x:v>
      </x:c>
      <x:c r="H3" s="26" t="str">
        <x:v>Status</x:v>
      </x:c>
      <x:c r="I3" s="26" t="str">
        <x:v>OS</x:v>
      </x:c>
      <x:c r="J3" s="26" t="str">
        <x:v>RAM GB</x:v>
      </x:c>
      <x:c r="K3" s="26" t="str">
        <x:v>Storage GB</x:v>
      </x:c>
      <x:c r="L3" s="26" t="str">
        <x:v>Audit Notes</x:v>
      </x:c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50" t="str">
        <x:v>IT-1001</x:v>
      </x:c>
      <x:c r="B4" s="50" t="str">
        <x:v>Monitor</x:v>
      </x:c>
      <x:c r="C4" s="50" t="str">
        <x:v>Dell</x:v>
      </x:c>
      <x:c r="D4" s="50" t="str">
        <x:v>P2422H</x:v>
      </x:c>
      <x:c r="E4" s="50" t="str">
        <x:v>SIM127832</x:v>
      </x:c>
      <x:c r="F4" s="50" t="str"/>
      <x:c r="G4" s="50" t="str">
        <x:v>Project Site B</x:v>
      </x:c>
      <x:c r="H4" s="50" t="str">
        <x:v>Assigned</x:v>
      </x:c>
      <x:c r="I4" s="50" t="str">
        <x:v>N/A</x:v>
      </x:c>
      <x:c r="J4" s="50" t="n">
        <x:v>0</x:v>
      </x:c>
      <x:c r="K4" s="50" t="n">
        <x:v>0</x:v>
      </x:c>
      <x:c r="L4" s="50" t="str">
        <x:v>Simulated asset record</x:v>
      </x:c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50" t="str">
        <x:v>IT-1002</x:v>
      </x:c>
      <x:c r="B5" s="50" t="str">
        <x:v>Laptop</x:v>
      </x:c>
      <x:c r="C5" s="50" t="str">
        <x:v>Dell</x:v>
      </x:c>
      <x:c r="D5" s="50" t="str">
        <x:v>Latitude 5440</x:v>
      </x:c>
      <x:c r="E5" s="50" t="str">
        <x:v>SIM534239</x:v>
      </x:c>
      <x:c r="F5" s="50" t="str">
        <x:v>User-29</x:v>
      </x:c>
      <x:c r="G5" s="50" t="str">
        <x:v>Project Site A</x:v>
      </x:c>
      <x:c r="H5" s="50" t="str">
        <x:v>Retired</x:v>
      </x:c>
      <x:c r="I5" s="50" t="str">
        <x:v>Windows 11</x:v>
      </x:c>
      <x:c r="J5" s="50" t="n">
        <x:v>32</x:v>
      </x:c>
      <x:c r="K5" s="50" t="n">
        <x:v>256</x:v>
      </x:c>
      <x:c r="L5" s="50" t="str">
        <x:v>Simulated asset record</x:v>
      </x:c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50" t="str">
        <x:v>IT-1003</x:v>
      </x:c>
      <x:c r="B6" s="50" t="str">
        <x:v>Monitor</x:v>
      </x:c>
      <x:c r="C6" s="50" t="str">
        <x:v>Dell</x:v>
      </x:c>
      <x:c r="D6" s="50" t="str">
        <x:v>P2422H</x:v>
      </x:c>
      <x:c r="E6" s="50" t="str">
        <x:v>SIM336816</x:v>
      </x:c>
      <x:c r="F6" s="50" t="str"/>
      <x:c r="G6" s="50" t="str">
        <x:v>Project Site C</x:v>
      </x:c>
      <x:c r="H6" s="50" t="str">
        <x:v>In Stock</x:v>
      </x:c>
      <x:c r="I6" s="50" t="str">
        <x:v>N/A</x:v>
      </x:c>
      <x:c r="J6" s="50" t="n">
        <x:v>0</x:v>
      </x:c>
      <x:c r="K6" s="50" t="n">
        <x:v>0</x:v>
      </x:c>
      <x:c r="L6" s="50" t="str">
        <x:v>Simulated asset record</x:v>
      </x:c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50" t="str">
        <x:v>IT-1004</x:v>
      </x:c>
      <x:c r="B7" s="50" t="str">
        <x:v>Monitor</x:v>
      </x:c>
      <x:c r="C7" s="50" t="str">
        <x:v>Dell</x:v>
      </x:c>
      <x:c r="D7" s="50" t="str">
        <x:v>P2422H</x:v>
      </x:c>
      <x:c r="E7" s="50" t="str">
        <x:v>SIM300709</x:v>
      </x:c>
      <x:c r="F7" s="50" t="str"/>
      <x:c r="G7" s="50" t="str">
        <x:v>Winnipeg Office</x:v>
      </x:c>
      <x:c r="H7" s="50" t="str">
        <x:v>Assigned</x:v>
      </x:c>
      <x:c r="I7" s="50" t="str">
        <x:v>N/A</x:v>
      </x:c>
      <x:c r="J7" s="50" t="n">
        <x:v>0</x:v>
      </x:c>
      <x:c r="K7" s="50" t="n">
        <x:v>0</x:v>
      </x:c>
      <x:c r="L7" s="50" t="str">
        <x:v>Simulated asset record</x:v>
      </x:c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50" t="str">
        <x:v>IT-1005</x:v>
      </x:c>
      <x:c r="B8" s="50" t="str">
        <x:v>Laptop</x:v>
      </x:c>
      <x:c r="C8" s="50" t="str">
        <x:v>Dell</x:v>
      </x:c>
      <x:c r="D8" s="50" t="str">
        <x:v>Latitude 5440</x:v>
      </x:c>
      <x:c r="E8" s="50" t="str">
        <x:v>SIM775472</x:v>
      </x:c>
      <x:c r="F8" s="50" t="str">
        <x:v>User-09</x:v>
      </x:c>
      <x:c r="G8" s="50" t="str">
        <x:v>Winnipeg Office</x:v>
      </x:c>
      <x:c r="H8" s="50" t="str">
        <x:v>In Stock</x:v>
      </x:c>
      <x:c r="I8" s="50" t="str">
        <x:v>Windows 11</x:v>
      </x:c>
      <x:c r="J8" s="50" t="n">
        <x:v>16</x:v>
      </x:c>
      <x:c r="K8" s="50" t="n">
        <x:v>1024</x:v>
      </x:c>
      <x:c r="L8" s="50" t="str">
        <x:v>Simulated asset record</x:v>
      </x:c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50" t="str">
        <x:v>IT-1006</x:v>
      </x:c>
      <x:c r="B9" s="50" t="str">
        <x:v>Desktop</x:v>
      </x:c>
      <x:c r="C9" s="50" t="str">
        <x:v>HP</x:v>
      </x:c>
      <x:c r="D9" s="50" t="str">
        <x:v>EliteDesk 800</x:v>
      </x:c>
      <x:c r="E9" s="50" t="str">
        <x:v>SIM717660</x:v>
      </x:c>
      <x:c r="F9" s="50" t="str">
        <x:v>User-07</x:v>
      </x:c>
      <x:c r="G9" s="50" t="str">
        <x:v>Project Site B</x:v>
      </x:c>
      <x:c r="H9" s="50" t="str">
        <x:v>Assigned</x:v>
      </x:c>
      <x:c r="I9" s="50" t="str">
        <x:v>Windows 11</x:v>
      </x:c>
      <x:c r="J9" s="50" t="n">
        <x:v>16</x:v>
      </x:c>
      <x:c r="K9" s="50" t="n">
        <x:v>256</x:v>
      </x:c>
      <x:c r="L9" s="50" t="str">
        <x:v>Simulated asset record</x:v>
      </x:c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50" t="str">
        <x:v>IT-1007</x:v>
      </x:c>
      <x:c r="B10" s="50" t="str">
        <x:v>Desktop</x:v>
      </x:c>
      <x:c r="C10" s="50" t="str">
        <x:v>HP</x:v>
      </x:c>
      <x:c r="D10" s="50" t="str">
        <x:v>EliteDesk 800</x:v>
      </x:c>
      <x:c r="E10" s="50" t="str">
        <x:v>SIM126230</x:v>
      </x:c>
      <x:c r="F10" s="50" t="str">
        <x:v>User-08</x:v>
      </x:c>
      <x:c r="G10" s="50" t="str">
        <x:v>Project Site C</x:v>
      </x:c>
      <x:c r="H10" s="50" t="str">
        <x:v>Assigned</x:v>
      </x:c>
      <x:c r="I10" s="50" t="str">
        <x:v>Windows 11</x:v>
      </x:c>
      <x:c r="J10" s="50" t="n">
        <x:v>8</x:v>
      </x:c>
      <x:c r="K10" s="50" t="n">
        <x:v>512</x:v>
      </x:c>
      <x:c r="L10" s="50" t="str">
        <x:v>Simulated asset record</x:v>
      </x:c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50" t="str">
        <x:v>IT-1008</x:v>
      </x:c>
      <x:c r="B11" s="50" t="str">
        <x:v>Dock</x:v>
      </x:c>
      <x:c r="C11" s="50" t="str">
        <x:v>Dell</x:v>
      </x:c>
      <x:c r="D11" s="50" t="str">
        <x:v>WD19S</x:v>
      </x:c>
      <x:c r="E11" s="50" t="str">
        <x:v>SIM855110</x:v>
      </x:c>
      <x:c r="F11" s="50" t="str"/>
      <x:c r="G11" s="50" t="str">
        <x:v>Project Site A</x:v>
      </x:c>
      <x:c r="H11" s="50" t="str">
        <x:v>In Stock</x:v>
      </x:c>
      <x:c r="I11" s="50" t="str">
        <x:v>N/A</x:v>
      </x:c>
      <x:c r="J11" s="50" t="n">
        <x:v>0</x:v>
      </x:c>
      <x:c r="K11" s="50" t="n">
        <x:v>0</x:v>
      </x:c>
      <x:c r="L11" s="50" t="str">
        <x:v>Simulated asset record</x:v>
      </x:c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50" t="str">
        <x:v>IT-1009</x:v>
      </x:c>
      <x:c r="B12" s="50" t="str">
        <x:v>Laptop</x:v>
      </x:c>
      <x:c r="C12" s="50" t="str">
        <x:v>Dell</x:v>
      </x:c>
      <x:c r="D12" s="50" t="str">
        <x:v>Latitude 5440</x:v>
      </x:c>
      <x:c r="E12" s="50" t="str">
        <x:v>SIM647306</x:v>
      </x:c>
      <x:c r="F12" s="50" t="str">
        <x:v>User-18</x:v>
      </x:c>
      <x:c r="G12" s="50" t="str">
        <x:v>Project Site B</x:v>
      </x:c>
      <x:c r="H12" s="50" t="str">
        <x:v>In Stock</x:v>
      </x:c>
      <x:c r="I12" s="50" t="str">
        <x:v>Windows 11</x:v>
      </x:c>
      <x:c r="J12" s="50" t="n">
        <x:v>16</x:v>
      </x:c>
      <x:c r="K12" s="50" t="n">
        <x:v>1024</x:v>
      </x:c>
      <x:c r="L12" s="50" t="str">
        <x:v>Simulated asset record</x:v>
      </x:c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50" t="str">
        <x:v>IT-1010</x:v>
      </x:c>
      <x:c r="B13" s="50" t="str">
        <x:v>Tablet</x:v>
      </x:c>
      <x:c r="C13" s="50" t="str">
        <x:v>Microsoft</x:v>
      </x:c>
      <x:c r="D13" s="50" t="str">
        <x:v>Surface Pro 9</x:v>
      </x:c>
      <x:c r="E13" s="50" t="str">
        <x:v>SIM191641</x:v>
      </x:c>
      <x:c r="F13" s="50" t="str">
        <x:v>User-23</x:v>
      </x:c>
      <x:c r="G13" s="50" t="str">
        <x:v>Project Site A</x:v>
      </x:c>
      <x:c r="H13" s="50" t="str">
        <x:v>Assigned</x:v>
      </x:c>
      <x:c r="I13" s="50" t="str">
        <x:v>Windows 11</x:v>
      </x:c>
      <x:c r="J13" s="50" t="n">
        <x:v>16</x:v>
      </x:c>
      <x:c r="K13" s="50" t="n">
        <x:v>1024</x:v>
      </x:c>
      <x:c r="L13" s="50" t="str">
        <x:v>Simulated asset record</x:v>
      </x:c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50" t="str">
        <x:v>IT-1011</x:v>
      </x:c>
      <x:c r="B14" s="50" t="str">
        <x:v>Laptop</x:v>
      </x:c>
      <x:c r="C14" s="50" t="str">
        <x:v>Dell</x:v>
      </x:c>
      <x:c r="D14" s="50" t="str">
        <x:v>Latitude 5440</x:v>
      </x:c>
      <x:c r="E14" s="50" t="str">
        <x:v>SIM985111</x:v>
      </x:c>
      <x:c r="F14" s="50" t="str">
        <x:v>User-16</x:v>
      </x:c>
      <x:c r="G14" s="50" t="str">
        <x:v>Winnipeg Office</x:v>
      </x:c>
      <x:c r="H14" s="50" t="str">
        <x:v>In Stock</x:v>
      </x:c>
      <x:c r="I14" s="50" t="str">
        <x:v>Windows 11</x:v>
      </x:c>
      <x:c r="J14" s="50" t="n">
        <x:v>32</x:v>
      </x:c>
      <x:c r="K14" s="50" t="n">
        <x:v>1024</x:v>
      </x:c>
      <x:c r="L14" s="50" t="str">
        <x:v>Simulated asset record</x:v>
      </x:c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50" t="str">
        <x:v>IT-1012</x:v>
      </x:c>
      <x:c r="B15" s="50" t="str">
        <x:v>Desktop</x:v>
      </x:c>
      <x:c r="C15" s="50" t="str">
        <x:v>HP</x:v>
      </x:c>
      <x:c r="D15" s="50" t="str">
        <x:v>EliteDesk 800</x:v>
      </x:c>
      <x:c r="E15" s="50" t="str">
        <x:v>SIM904556</x:v>
      </x:c>
      <x:c r="F15" s="50" t="str">
        <x:v>User-04</x:v>
      </x:c>
      <x:c r="G15" s="50" t="str">
        <x:v>Project Site B</x:v>
      </x:c>
      <x:c r="H15" s="50" t="str">
        <x:v>Assigned</x:v>
      </x:c>
      <x:c r="I15" s="50" t="str">
        <x:v>Windows 11</x:v>
      </x:c>
      <x:c r="J15" s="50" t="n">
        <x:v>16</x:v>
      </x:c>
      <x:c r="K15" s="50" t="n">
        <x:v>256</x:v>
      </x:c>
      <x:c r="L15" s="50" t="str">
        <x:v>Simulated asset record</x:v>
      </x:c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50" t="str">
        <x:v>IT-1013</x:v>
      </x:c>
      <x:c r="B16" s="50" t="str">
        <x:v>Laptop</x:v>
      </x:c>
      <x:c r="C16" s="50" t="str">
        <x:v>Dell</x:v>
      </x:c>
      <x:c r="D16" s="50" t="str">
        <x:v>Latitude 5440</x:v>
      </x:c>
      <x:c r="E16" s="50" t="str">
        <x:v>SIM839489</x:v>
      </x:c>
      <x:c r="F16" s="50" t="str">
        <x:v>User-25</x:v>
      </x:c>
      <x:c r="G16" s="50" t="str">
        <x:v>Project Site B</x:v>
      </x:c>
      <x:c r="H16" s="50" t="str">
        <x:v>In Stock</x:v>
      </x:c>
      <x:c r="I16" s="50" t="str">
        <x:v>Windows 11</x:v>
      </x:c>
      <x:c r="J16" s="50" t="n">
        <x:v>32</x:v>
      </x:c>
      <x:c r="K16" s="50" t="n">
        <x:v>512</x:v>
      </x:c>
      <x:c r="L16" s="50" t="str">
        <x:v>Simulated asset record</x:v>
      </x:c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50" t="str">
        <x:v>IT-1014</x:v>
      </x:c>
      <x:c r="B17" s="50" t="str">
        <x:v>Laptop</x:v>
      </x:c>
      <x:c r="C17" s="50" t="str">
        <x:v>Dell</x:v>
      </x:c>
      <x:c r="D17" s="50" t="str">
        <x:v>Latitude 5440</x:v>
      </x:c>
      <x:c r="E17" s="50" t="str">
        <x:v>SIM640624</x:v>
      </x:c>
      <x:c r="F17" s="50" t="str">
        <x:v>User-25</x:v>
      </x:c>
      <x:c r="G17" s="50" t="str">
        <x:v>Project Site A</x:v>
      </x:c>
      <x:c r="H17" s="50" t="str">
        <x:v>Assigned</x:v>
      </x:c>
      <x:c r="I17" s="50" t="str">
        <x:v>Windows 11</x:v>
      </x:c>
      <x:c r="J17" s="50" t="n">
        <x:v>32</x:v>
      </x:c>
      <x:c r="K17" s="50" t="n">
        <x:v>1024</x:v>
      </x:c>
      <x:c r="L17" s="50" t="str">
        <x:v>Simulated asset record</x:v>
      </x:c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50" t="str">
        <x:v>IT-1015</x:v>
      </x:c>
      <x:c r="B18" s="50" t="str">
        <x:v>Desktop</x:v>
      </x:c>
      <x:c r="C18" s="50" t="str">
        <x:v>HP</x:v>
      </x:c>
      <x:c r="D18" s="50" t="str">
        <x:v>EliteDesk 800</x:v>
      </x:c>
      <x:c r="E18" s="50" t="str">
        <x:v>SIM594981</x:v>
      </x:c>
      <x:c r="F18" s="50" t="str">
        <x:v>User-06</x:v>
      </x:c>
      <x:c r="G18" s="50" t="str">
        <x:v>Project Site A</x:v>
      </x:c>
      <x:c r="H18" s="50" t="str">
        <x:v>In Stock</x:v>
      </x:c>
      <x:c r="I18" s="50" t="str">
        <x:v>Windows 11</x:v>
      </x:c>
      <x:c r="J18" s="50" t="n">
        <x:v>32</x:v>
      </x:c>
      <x:c r="K18" s="50" t="n">
        <x:v>512</x:v>
      </x:c>
      <x:c r="L18" s="50" t="str">
        <x:v>Simulated asset record</x:v>
      </x:c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50" t="str">
        <x:v>IT-1016</x:v>
      </x:c>
      <x:c r="B19" s="50" t="str">
        <x:v>Laptop</x:v>
      </x:c>
      <x:c r="C19" s="50" t="str">
        <x:v>Dell</x:v>
      </x:c>
      <x:c r="D19" s="50" t="str">
        <x:v>Latitude 5440</x:v>
      </x:c>
      <x:c r="E19" s="50" t="str">
        <x:v>SIM648633</x:v>
      </x:c>
      <x:c r="F19" s="50" t="str">
        <x:v>User-19</x:v>
      </x:c>
      <x:c r="G19" s="50" t="str">
        <x:v>Project Site A</x:v>
      </x:c>
      <x:c r="H19" s="50" t="str">
        <x:v>Assigned</x:v>
      </x:c>
      <x:c r="I19" s="50" t="str">
        <x:v>Windows 11</x:v>
      </x:c>
      <x:c r="J19" s="50" t="n">
        <x:v>8</x:v>
      </x:c>
      <x:c r="K19" s="50" t="n">
        <x:v>512</x:v>
      </x:c>
      <x:c r="L19" s="50" t="str">
        <x:v>Simulated asset record</x:v>
      </x:c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50" t="str">
        <x:v>IT-1017</x:v>
      </x:c>
      <x:c r="B20" s="50" t="str">
        <x:v>Tablet</x:v>
      </x:c>
      <x:c r="C20" s="50" t="str">
        <x:v>Microsoft</x:v>
      </x:c>
      <x:c r="D20" s="50" t="str">
        <x:v>Surface Pro 9</x:v>
      </x:c>
      <x:c r="E20" s="50" t="str">
        <x:v>SIM579177</x:v>
      </x:c>
      <x:c r="F20" s="50" t="str">
        <x:v>User-28</x:v>
      </x:c>
      <x:c r="G20" s="50" t="str">
        <x:v>Project Site C</x:v>
      </x:c>
      <x:c r="H20" s="50" t="str">
        <x:v>Assigned</x:v>
      </x:c>
      <x:c r="I20" s="50" t="str">
        <x:v>Windows 11</x:v>
      </x:c>
      <x:c r="J20" s="50" t="n">
        <x:v>8</x:v>
      </x:c>
      <x:c r="K20" s="50" t="n">
        <x:v>512</x:v>
      </x:c>
      <x:c r="L20" s="50" t="str">
        <x:v>Simulated asset record</x:v>
      </x:c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50" t="str">
        <x:v>IT-1018</x:v>
      </x:c>
      <x:c r="B21" s="50" t="str">
        <x:v>Desktop</x:v>
      </x:c>
      <x:c r="C21" s="50" t="str">
        <x:v>HP</x:v>
      </x:c>
      <x:c r="D21" s="50" t="str">
        <x:v>EliteDesk 800</x:v>
      </x:c>
      <x:c r="E21" s="50" t="str">
        <x:v>SIM154547</x:v>
      </x:c>
      <x:c r="F21" s="50" t="str">
        <x:v>User-12</x:v>
      </x:c>
      <x:c r="G21" s="50" t="str">
        <x:v>Project Site C</x:v>
      </x:c>
      <x:c r="H21" s="50" t="str">
        <x:v>Assigned</x:v>
      </x:c>
      <x:c r="I21" s="50" t="str">
        <x:v>Windows 11</x:v>
      </x:c>
      <x:c r="J21" s="50" t="n">
        <x:v>8</x:v>
      </x:c>
      <x:c r="K21" s="50" t="n">
        <x:v>256</x:v>
      </x:c>
      <x:c r="L21" s="50" t="str">
        <x:v>Simulated asset record</x:v>
      </x:c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50" t="str">
        <x:v>IT-1019</x:v>
      </x:c>
      <x:c r="B22" s="50" t="str">
        <x:v>Dock</x:v>
      </x:c>
      <x:c r="C22" s="50" t="str">
        <x:v>Dell</x:v>
      </x:c>
      <x:c r="D22" s="50" t="str">
        <x:v>WD19S</x:v>
      </x:c>
      <x:c r="E22" s="50" t="str">
        <x:v>SIM558020</x:v>
      </x:c>
      <x:c r="F22" s="50" t="str"/>
      <x:c r="G22" s="50" t="str">
        <x:v>Project Site B</x:v>
      </x:c>
      <x:c r="H22" s="50" t="str">
        <x:v>Assigned</x:v>
      </x:c>
      <x:c r="I22" s="50" t="str">
        <x:v>N/A</x:v>
      </x:c>
      <x:c r="J22" s="50" t="n">
        <x:v>0</x:v>
      </x:c>
      <x:c r="K22" s="50" t="n">
        <x:v>0</x:v>
      </x:c>
      <x:c r="L22" s="50" t="str">
        <x:v>Simulated asset record</x:v>
      </x:c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50" t="str">
        <x:v>IT-1020</x:v>
      </x:c>
      <x:c r="B23" s="50" t="str">
        <x:v>Laptop</x:v>
      </x:c>
      <x:c r="C23" s="50" t="str">
        <x:v>Dell</x:v>
      </x:c>
      <x:c r="D23" s="50" t="str">
        <x:v>Latitude 5440</x:v>
      </x:c>
      <x:c r="E23" s="50" t="str">
        <x:v>SIM838571</x:v>
      </x:c>
      <x:c r="F23" s="50" t="str">
        <x:v>User-06</x:v>
      </x:c>
      <x:c r="G23" s="50" t="str">
        <x:v>Project Site C</x:v>
      </x:c>
      <x:c r="H23" s="50" t="str">
        <x:v>Assigned</x:v>
      </x:c>
      <x:c r="I23" s="50" t="str">
        <x:v>Windows 11</x:v>
      </x:c>
      <x:c r="J23" s="50" t="n">
        <x:v>16</x:v>
      </x:c>
      <x:c r="K23" s="50" t="n">
        <x:v>1024</x:v>
      </x:c>
      <x:c r="L23" s="50" t="str">
        <x:v>Simulated asset record</x:v>
      </x:c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50" t="str">
        <x:v>IT-1021</x:v>
      </x:c>
      <x:c r="B24" s="50" t="str">
        <x:v>Desktop</x:v>
      </x:c>
      <x:c r="C24" s="50" t="str">
        <x:v>HP</x:v>
      </x:c>
      <x:c r="D24" s="50" t="str">
        <x:v>EliteDesk 800</x:v>
      </x:c>
      <x:c r="E24" s="50" t="str">
        <x:v>SIM892293</x:v>
      </x:c>
      <x:c r="F24" s="50" t="str">
        <x:v>User-07</x:v>
      </x:c>
      <x:c r="G24" s="50" t="str">
        <x:v>Winnipeg Office</x:v>
      </x:c>
      <x:c r="H24" s="50" t="str">
        <x:v>Assigned</x:v>
      </x:c>
      <x:c r="I24" s="50" t="str">
        <x:v>Windows 11</x:v>
      </x:c>
      <x:c r="J24" s="50" t="n">
        <x:v>32</x:v>
      </x:c>
      <x:c r="K24" s="50" t="n">
        <x:v>256</x:v>
      </x:c>
      <x:c r="L24" s="50" t="str">
        <x:v>Simulated asset record</x:v>
      </x:c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50" t="str">
        <x:v>IT-1022</x:v>
      </x:c>
      <x:c r="B25" s="50" t="str">
        <x:v>Desktop</x:v>
      </x:c>
      <x:c r="C25" s="50" t="str">
        <x:v>HP</x:v>
      </x:c>
      <x:c r="D25" s="50" t="str">
        <x:v>EliteDesk 800</x:v>
      </x:c>
      <x:c r="E25" s="50" t="str">
        <x:v>SIM556432</x:v>
      </x:c>
      <x:c r="F25" s="50" t="str">
        <x:v>User-18</x:v>
      </x:c>
      <x:c r="G25" s="50" t="str">
        <x:v>Winnipeg Office</x:v>
      </x:c>
      <x:c r="H25" s="50" t="str">
        <x:v>Assigned</x:v>
      </x:c>
      <x:c r="I25" s="50" t="str">
        <x:v>Windows 11</x:v>
      </x:c>
      <x:c r="J25" s="50" t="n">
        <x:v>32</x:v>
      </x:c>
      <x:c r="K25" s="50" t="n">
        <x:v>1024</x:v>
      </x:c>
      <x:c r="L25" s="50" t="str">
        <x:v>Simulated asset record</x:v>
      </x:c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50" t="str">
        <x:v>IT-1023</x:v>
      </x:c>
      <x:c r="B26" s="50" t="str">
        <x:v>Monitor</x:v>
      </x:c>
      <x:c r="C26" s="50" t="str">
        <x:v>Dell</x:v>
      </x:c>
      <x:c r="D26" s="50" t="str">
        <x:v>P2422H</x:v>
      </x:c>
      <x:c r="E26" s="50" t="str">
        <x:v>SIM434706</x:v>
      </x:c>
      <x:c r="F26" s="50" t="str"/>
      <x:c r="G26" s="50" t="str">
        <x:v>Project Site A</x:v>
      </x:c>
      <x:c r="H26" s="50" t="str">
        <x:v>Assigned</x:v>
      </x:c>
      <x:c r="I26" s="50" t="str">
        <x:v>N/A</x:v>
      </x:c>
      <x:c r="J26" s="50" t="n">
        <x:v>0</x:v>
      </x:c>
      <x:c r="K26" s="50" t="n">
        <x:v>0</x:v>
      </x:c>
      <x:c r="L26" s="50" t="str">
        <x:v>Simulated asset record</x:v>
      </x:c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50" t="str">
        <x:v>IT-1024</x:v>
      </x:c>
      <x:c r="B27" s="50" t="str">
        <x:v>Tablet</x:v>
      </x:c>
      <x:c r="C27" s="50" t="str">
        <x:v>Microsoft</x:v>
      </x:c>
      <x:c r="D27" s="50" t="str">
        <x:v>Surface Pro 9</x:v>
      </x:c>
      <x:c r="E27" s="50" t="str">
        <x:v>SIM408109</x:v>
      </x:c>
      <x:c r="F27" s="50" t="str">
        <x:v>User-08</x:v>
      </x:c>
      <x:c r="G27" s="50" t="str">
        <x:v>Project Site B</x:v>
      </x:c>
      <x:c r="H27" s="50" t="str">
        <x:v>Assigned</x:v>
      </x:c>
      <x:c r="I27" s="50" t="str">
        <x:v>Windows 11</x:v>
      </x:c>
      <x:c r="J27" s="50" t="n">
        <x:v>16</x:v>
      </x:c>
      <x:c r="K27" s="50" t="n">
        <x:v>512</x:v>
      </x:c>
      <x:c r="L27" s="50" t="str">
        <x:v>Simulated asset record</x:v>
      </x:c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50" t="str">
        <x:v>IT-1025</x:v>
      </x:c>
      <x:c r="B28" s="50" t="str">
        <x:v>Monitor</x:v>
      </x:c>
      <x:c r="C28" s="50" t="str">
        <x:v>Dell</x:v>
      </x:c>
      <x:c r="D28" s="50" t="str">
        <x:v>P2422H</x:v>
      </x:c>
      <x:c r="E28" s="50" t="str">
        <x:v>SIM374141</x:v>
      </x:c>
      <x:c r="F28" s="50" t="str"/>
      <x:c r="G28" s="50" t="str">
        <x:v>Project Site A</x:v>
      </x:c>
      <x:c r="H28" s="50" t="str">
        <x:v>Assigned</x:v>
      </x:c>
      <x:c r="I28" s="50" t="str">
        <x:v>N/A</x:v>
      </x:c>
      <x:c r="J28" s="50" t="n">
        <x:v>0</x:v>
      </x:c>
      <x:c r="K28" s="50" t="n">
        <x:v>0</x:v>
      </x:c>
      <x:c r="L28" s="50" t="str">
        <x:v>Simulated asset record</x:v>
      </x:c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50" t="str">
        <x:v>IT-1026</x:v>
      </x:c>
      <x:c r="B29" s="50" t="str">
        <x:v>Desktop</x:v>
      </x:c>
      <x:c r="C29" s="50" t="str">
        <x:v>HP</x:v>
      </x:c>
      <x:c r="D29" s="50" t="str">
        <x:v>EliteDesk 800</x:v>
      </x:c>
      <x:c r="E29" s="50" t="str">
        <x:v>SIM546941</x:v>
      </x:c>
      <x:c r="F29" s="50" t="str">
        <x:v>User-08</x:v>
      </x:c>
      <x:c r="G29" s="50" t="str">
        <x:v>Winnipeg Office</x:v>
      </x:c>
      <x:c r="H29" s="50" t="str">
        <x:v>In Stock</x:v>
      </x:c>
      <x:c r="I29" s="50" t="str">
        <x:v>Windows 11</x:v>
      </x:c>
      <x:c r="J29" s="50" t="n">
        <x:v>8</x:v>
      </x:c>
      <x:c r="K29" s="50" t="n">
        <x:v>512</x:v>
      </x:c>
      <x:c r="L29" s="50" t="str">
        <x:v>Simulated asset record</x:v>
      </x:c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50" t="str">
        <x:v>IT-1027</x:v>
      </x:c>
      <x:c r="B30" s="50" t="str">
        <x:v>Tablet</x:v>
      </x:c>
      <x:c r="C30" s="50" t="str">
        <x:v>Microsoft</x:v>
      </x:c>
      <x:c r="D30" s="50" t="str">
        <x:v>Surface Pro 9</x:v>
      </x:c>
      <x:c r="E30" s="50" t="str">
        <x:v>SIM174823</x:v>
      </x:c>
      <x:c r="F30" s="50" t="str">
        <x:v>User-19</x:v>
      </x:c>
      <x:c r="G30" s="50" t="str">
        <x:v>Project Site A</x:v>
      </x:c>
      <x:c r="H30" s="50" t="str">
        <x:v>In Stock</x:v>
      </x:c>
      <x:c r="I30" s="50" t="str">
        <x:v>Windows 11</x:v>
      </x:c>
      <x:c r="J30" s="50" t="n">
        <x:v>32</x:v>
      </x:c>
      <x:c r="K30" s="50" t="n">
        <x:v>512</x:v>
      </x:c>
      <x:c r="L30" s="50" t="str">
        <x:v>Simulated asset record</x:v>
      </x:c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50" t="str">
        <x:v>IT-1028</x:v>
      </x:c>
      <x:c r="B31" s="50" t="str">
        <x:v>Monitor</x:v>
      </x:c>
      <x:c r="C31" s="50" t="str">
        <x:v>Dell</x:v>
      </x:c>
      <x:c r="D31" s="50" t="str">
        <x:v>P2422H</x:v>
      </x:c>
      <x:c r="E31" s="50" t="str">
        <x:v>SIM387823</x:v>
      </x:c>
      <x:c r="F31" s="50" t="str"/>
      <x:c r="G31" s="50" t="str">
        <x:v>Project Site C</x:v>
      </x:c>
      <x:c r="H31" s="50" t="str">
        <x:v>Assigned</x:v>
      </x:c>
      <x:c r="I31" s="50" t="str">
        <x:v>N/A</x:v>
      </x:c>
      <x:c r="J31" s="50" t="n">
        <x:v>0</x:v>
      </x:c>
      <x:c r="K31" s="50" t="n">
        <x:v>0</x:v>
      </x:c>
      <x:c r="L31" s="50" t="str">
        <x:v>Simulated asset record</x:v>
      </x:c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50" t="str">
        <x:v>IT-1029</x:v>
      </x:c>
      <x:c r="B32" s="50" t="str">
        <x:v>Laptop</x:v>
      </x:c>
      <x:c r="C32" s="50" t="str">
        <x:v>Dell</x:v>
      </x:c>
      <x:c r="D32" s="50" t="str">
        <x:v>Latitude 5440</x:v>
      </x:c>
      <x:c r="E32" s="50" t="str">
        <x:v>SIM900350</x:v>
      </x:c>
      <x:c r="F32" s="50" t="str">
        <x:v>User-24</x:v>
      </x:c>
      <x:c r="G32" s="50" t="str">
        <x:v>Project Site A</x:v>
      </x:c>
      <x:c r="H32" s="50" t="str">
        <x:v>Assigned</x:v>
      </x:c>
      <x:c r="I32" s="50" t="str">
        <x:v>Windows 11</x:v>
      </x:c>
      <x:c r="J32" s="50" t="n">
        <x:v>16</x:v>
      </x:c>
      <x:c r="K32" s="50" t="n">
        <x:v>512</x:v>
      </x:c>
      <x:c r="L32" s="50" t="str">
        <x:v>Simulated asset record</x:v>
      </x:c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50" t="str">
        <x:v>IT-1030</x:v>
      </x:c>
      <x:c r="B33" s="50" t="str">
        <x:v>Laptop</x:v>
      </x:c>
      <x:c r="C33" s="50" t="str">
        <x:v>Dell</x:v>
      </x:c>
      <x:c r="D33" s="50" t="str">
        <x:v>Latitude 5440</x:v>
      </x:c>
      <x:c r="E33" s="50" t="str">
        <x:v>SIM158855</x:v>
      </x:c>
      <x:c r="F33" s="50" t="str">
        <x:v>User-06</x:v>
      </x:c>
      <x:c r="G33" s="50" t="str">
        <x:v>Winnipeg Office</x:v>
      </x:c>
      <x:c r="H33" s="50" t="str">
        <x:v>Retired</x:v>
      </x:c>
      <x:c r="I33" s="50" t="str">
        <x:v>Windows 11</x:v>
      </x:c>
      <x:c r="J33" s="50" t="n">
        <x:v>16</x:v>
      </x:c>
      <x:c r="K33" s="50" t="n">
        <x:v>512</x:v>
      </x:c>
      <x:c r="L33" s="50" t="str">
        <x:v>Simulated asset record</x:v>
      </x:c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50" t="str">
        <x:v>IT-1031</x:v>
      </x:c>
      <x:c r="B34" s="50" t="str">
        <x:v>Dock</x:v>
      </x:c>
      <x:c r="C34" s="50" t="str">
        <x:v>Dell</x:v>
      </x:c>
      <x:c r="D34" s="50" t="str">
        <x:v>WD19S</x:v>
      </x:c>
      <x:c r="E34" s="50" t="str">
        <x:v>SIM944155</x:v>
      </x:c>
      <x:c r="F34" s="50" t="str"/>
      <x:c r="G34" s="50" t="str">
        <x:v>Project Site C</x:v>
      </x:c>
      <x:c r="H34" s="50" t="str">
        <x:v>Assigned</x:v>
      </x:c>
      <x:c r="I34" s="50" t="str">
        <x:v>N/A</x:v>
      </x:c>
      <x:c r="J34" s="50" t="n">
        <x:v>0</x:v>
      </x:c>
      <x:c r="K34" s="50" t="n">
        <x:v>0</x:v>
      </x:c>
      <x:c r="L34" s="50" t="str">
        <x:v>Simulated asset record</x:v>
      </x:c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50" t="str">
        <x:v>IT-1032</x:v>
      </x:c>
      <x:c r="B35" s="50" t="str">
        <x:v>Monitor</x:v>
      </x:c>
      <x:c r="C35" s="50" t="str">
        <x:v>Dell</x:v>
      </x:c>
      <x:c r="D35" s="50" t="str">
        <x:v>P2422H</x:v>
      </x:c>
      <x:c r="E35" s="50" t="str">
        <x:v>SIM458040</x:v>
      </x:c>
      <x:c r="F35" s="50" t="str"/>
      <x:c r="G35" s="50" t="str">
        <x:v>Project Site C</x:v>
      </x:c>
      <x:c r="H35" s="50" t="str">
        <x:v>In Stock</x:v>
      </x:c>
      <x:c r="I35" s="50" t="str">
        <x:v>N/A</x:v>
      </x:c>
      <x:c r="J35" s="50" t="n">
        <x:v>0</x:v>
      </x:c>
      <x:c r="K35" s="50" t="n">
        <x:v>0</x:v>
      </x:c>
      <x:c r="L35" s="50" t="str">
        <x:v>Simulated asset record</x:v>
      </x:c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50" t="str">
        <x:v>IT-1033</x:v>
      </x:c>
      <x:c r="B36" s="50" t="str">
        <x:v>Desktop</x:v>
      </x:c>
      <x:c r="C36" s="50" t="str">
        <x:v>HP</x:v>
      </x:c>
      <x:c r="D36" s="50" t="str">
        <x:v>EliteDesk 800</x:v>
      </x:c>
      <x:c r="E36" s="50" t="str">
        <x:v>SIM692900</x:v>
      </x:c>
      <x:c r="F36" s="50" t="str">
        <x:v>User-05</x:v>
      </x:c>
      <x:c r="G36" s="50" t="str">
        <x:v>Project Site B</x:v>
      </x:c>
      <x:c r="H36" s="50" t="str">
        <x:v>Assigned</x:v>
      </x:c>
      <x:c r="I36" s="50" t="str">
        <x:v>Windows 11</x:v>
      </x:c>
      <x:c r="J36" s="50" t="n">
        <x:v>16</x:v>
      </x:c>
      <x:c r="K36" s="50" t="n">
        <x:v>512</x:v>
      </x:c>
      <x:c r="L36" s="50" t="str">
        <x:v>Simulated asset record</x:v>
      </x:c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50" t="str">
        <x:v>IT-1034</x:v>
      </x:c>
      <x:c r="B37" s="50" t="str">
        <x:v>Laptop</x:v>
      </x:c>
      <x:c r="C37" s="50" t="str">
        <x:v>Dell</x:v>
      </x:c>
      <x:c r="D37" s="50" t="str">
        <x:v>Latitude 5440</x:v>
      </x:c>
      <x:c r="E37" s="50" t="str">
        <x:v>SIM253669</x:v>
      </x:c>
      <x:c r="F37" s="50" t="str">
        <x:v>User-30</x:v>
      </x:c>
      <x:c r="G37" s="50" t="str">
        <x:v>Project Site C</x:v>
      </x:c>
      <x:c r="H37" s="50" t="str">
        <x:v>In Stock</x:v>
      </x:c>
      <x:c r="I37" s="50" t="str">
        <x:v>Windows 11</x:v>
      </x:c>
      <x:c r="J37" s="50" t="n">
        <x:v>8</x:v>
      </x:c>
      <x:c r="K37" s="50" t="n">
        <x:v>512</x:v>
      </x:c>
      <x:c r="L37" s="50" t="str">
        <x:v>Simulated asset record</x:v>
      </x:c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50" t="str">
        <x:v>IT-1035</x:v>
      </x:c>
      <x:c r="B38" s="50" t="str">
        <x:v>Laptop</x:v>
      </x:c>
      <x:c r="C38" s="50" t="str">
        <x:v>Dell</x:v>
      </x:c>
      <x:c r="D38" s="50" t="str">
        <x:v>Latitude 5440</x:v>
      </x:c>
      <x:c r="E38" s="50" t="str">
        <x:v>SIM106171</x:v>
      </x:c>
      <x:c r="F38" s="50" t="str">
        <x:v>User-17</x:v>
      </x:c>
      <x:c r="G38" s="50" t="str">
        <x:v>Project Site A</x:v>
      </x:c>
      <x:c r="H38" s="50" t="str">
        <x:v>In Stock</x:v>
      </x:c>
      <x:c r="I38" s="50" t="str">
        <x:v>Windows 11</x:v>
      </x:c>
      <x:c r="J38" s="50" t="n">
        <x:v>32</x:v>
      </x:c>
      <x:c r="K38" s="50" t="n">
        <x:v>1024</x:v>
      </x:c>
      <x:c r="L38" s="50" t="str">
        <x:v>Simulated asset record</x:v>
      </x:c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50" t="str">
        <x:v>IT-1036</x:v>
      </x:c>
      <x:c r="B39" s="50" t="str">
        <x:v>Laptop</x:v>
      </x:c>
      <x:c r="C39" s="50" t="str">
        <x:v>Dell</x:v>
      </x:c>
      <x:c r="D39" s="50" t="str">
        <x:v>Latitude 5440</x:v>
      </x:c>
      <x:c r="E39" s="50" t="str">
        <x:v>SIM650744</x:v>
      </x:c>
      <x:c r="F39" s="50" t="str">
        <x:v>User-24</x:v>
      </x:c>
      <x:c r="G39" s="50" t="str">
        <x:v>Project Site A</x:v>
      </x:c>
      <x:c r="H39" s="50" t="str">
        <x:v>Assigned</x:v>
      </x:c>
      <x:c r="I39" s="50" t="str">
        <x:v>Windows 11</x:v>
      </x:c>
      <x:c r="J39" s="50" t="n">
        <x:v>32</x:v>
      </x:c>
      <x:c r="K39" s="50" t="n">
        <x:v>256</x:v>
      </x:c>
      <x:c r="L39" s="50" t="str">
        <x:v>Simulated asset record</x:v>
      </x:c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50" t="str">
        <x:v>IT-1037</x:v>
      </x:c>
      <x:c r="B40" s="50" t="str">
        <x:v>Laptop</x:v>
      </x:c>
      <x:c r="C40" s="50" t="str">
        <x:v>Dell</x:v>
      </x:c>
      <x:c r="D40" s="50" t="str">
        <x:v>Latitude 5440</x:v>
      </x:c>
      <x:c r="E40" s="50" t="str">
        <x:v>SIM988974</x:v>
      </x:c>
      <x:c r="F40" s="50" t="str">
        <x:v>User-24</x:v>
      </x:c>
      <x:c r="G40" s="50" t="str">
        <x:v>Project Site B</x:v>
      </x:c>
      <x:c r="H40" s="50" t="str">
        <x:v>Assigned</x:v>
      </x:c>
      <x:c r="I40" s="50" t="str">
        <x:v>Windows 11</x:v>
      </x:c>
      <x:c r="J40" s="50" t="n">
        <x:v>32</x:v>
      </x:c>
      <x:c r="K40" s="50" t="n">
        <x:v>1024</x:v>
      </x:c>
      <x:c r="L40" s="50" t="str">
        <x:v>Simulated asset record</x:v>
      </x:c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50" t="str">
        <x:v>IT-1038</x:v>
      </x:c>
      <x:c r="B41" s="50" t="str">
        <x:v>Monitor</x:v>
      </x:c>
      <x:c r="C41" s="50" t="str">
        <x:v>Dell</x:v>
      </x:c>
      <x:c r="D41" s="50" t="str">
        <x:v>P2422H</x:v>
      </x:c>
      <x:c r="E41" s="50" t="str">
        <x:v>SIM403675</x:v>
      </x:c>
      <x:c r="F41" s="50" t="str"/>
      <x:c r="G41" s="50" t="str">
        <x:v>Winnipeg Office</x:v>
      </x:c>
      <x:c r="H41" s="50" t="str">
        <x:v>Assigned</x:v>
      </x:c>
      <x:c r="I41" s="50" t="str">
        <x:v>N/A</x:v>
      </x:c>
      <x:c r="J41" s="50" t="n">
        <x:v>0</x:v>
      </x:c>
      <x:c r="K41" s="50" t="n">
        <x:v>0</x:v>
      </x:c>
      <x:c r="L41" s="50" t="str">
        <x:v>Simulated asset record</x:v>
      </x:c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50" t="str">
        <x:v>IT-1039</x:v>
      </x:c>
      <x:c r="B42" s="50" t="str">
        <x:v>Laptop</x:v>
      </x:c>
      <x:c r="C42" s="50" t="str">
        <x:v>Dell</x:v>
      </x:c>
      <x:c r="D42" s="50" t="str">
        <x:v>Latitude 5440</x:v>
      </x:c>
      <x:c r="E42" s="50" t="str">
        <x:v>SIM876077</x:v>
      </x:c>
      <x:c r="F42" s="50" t="str">
        <x:v>User-15</x:v>
      </x:c>
      <x:c r="G42" s="50" t="str">
        <x:v>Winnipeg Office</x:v>
      </x:c>
      <x:c r="H42" s="50" t="str">
        <x:v>Assigned</x:v>
      </x:c>
      <x:c r="I42" s="50" t="str">
        <x:v>Windows 11</x:v>
      </x:c>
      <x:c r="J42" s="50" t="n">
        <x:v>8</x:v>
      </x:c>
      <x:c r="K42" s="50" t="n">
        <x:v>1024</x:v>
      </x:c>
      <x:c r="L42" s="50" t="str">
        <x:v>Simulated asset record</x:v>
      </x:c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50" t="str">
        <x:v>IT-1040</x:v>
      </x:c>
      <x:c r="B43" s="50" t="str">
        <x:v>Laptop</x:v>
      </x:c>
      <x:c r="C43" s="50" t="str">
        <x:v>Dell</x:v>
      </x:c>
      <x:c r="D43" s="50" t="str">
        <x:v>Latitude 5440</x:v>
      </x:c>
      <x:c r="E43" s="50" t="str">
        <x:v>SIM576459</x:v>
      </x:c>
      <x:c r="F43" s="50" t="str">
        <x:v>User-13</x:v>
      </x:c>
      <x:c r="G43" s="50" t="str">
        <x:v>Project Site B</x:v>
      </x:c>
      <x:c r="H43" s="50" t="str">
        <x:v>Repair</x:v>
      </x:c>
      <x:c r="I43" s="50" t="str">
        <x:v>Windows 11</x:v>
      </x:c>
      <x:c r="J43" s="50" t="n">
        <x:v>16</x:v>
      </x:c>
      <x:c r="K43" s="50" t="n">
        <x:v>512</x:v>
      </x:c>
      <x:c r="L43" s="50" t="str">
        <x:v>Simulated asset record</x:v>
      </x:c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50" t="str">
        <x:v>IT-1041</x:v>
      </x:c>
      <x:c r="B44" s="50" t="str">
        <x:v>Laptop</x:v>
      </x:c>
      <x:c r="C44" s="50" t="str">
        <x:v>Dell</x:v>
      </x:c>
      <x:c r="D44" s="50" t="str">
        <x:v>Latitude 5440</x:v>
      </x:c>
      <x:c r="E44" s="50" t="str">
        <x:v>SIM214277</x:v>
      </x:c>
      <x:c r="F44" s="50" t="str">
        <x:v>User-02</x:v>
      </x:c>
      <x:c r="G44" s="50" t="str">
        <x:v>Project Site C</x:v>
      </x:c>
      <x:c r="H44" s="50" t="str">
        <x:v>Assigned</x:v>
      </x:c>
      <x:c r="I44" s="50" t="str">
        <x:v>Windows 11</x:v>
      </x:c>
      <x:c r="J44" s="50" t="n">
        <x:v>8</x:v>
      </x:c>
      <x:c r="K44" s="50" t="n">
        <x:v>256</x:v>
      </x:c>
      <x:c r="L44" s="50" t="str">
        <x:v>Simulated asset record</x:v>
      </x:c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50" t="str">
        <x:v>IT-1042</x:v>
      </x:c>
      <x:c r="B45" s="50" t="str">
        <x:v>Laptop</x:v>
      </x:c>
      <x:c r="C45" s="50" t="str">
        <x:v>Dell</x:v>
      </x:c>
      <x:c r="D45" s="50" t="str">
        <x:v>Latitude 5440</x:v>
      </x:c>
      <x:c r="E45" s="50" t="str">
        <x:v>SIM745292</x:v>
      </x:c>
      <x:c r="F45" s="50" t="str">
        <x:v>User-20</x:v>
      </x:c>
      <x:c r="G45" s="50" t="str">
        <x:v>Project Site B</x:v>
      </x:c>
      <x:c r="H45" s="50" t="str">
        <x:v>Assigned</x:v>
      </x:c>
      <x:c r="I45" s="50" t="str">
        <x:v>Windows 11</x:v>
      </x:c>
      <x:c r="J45" s="50" t="n">
        <x:v>16</x:v>
      </x:c>
      <x:c r="K45" s="50" t="n">
        <x:v>1024</x:v>
      </x:c>
      <x:c r="L45" s="50" t="str">
        <x:v>Simulated asset record</x:v>
      </x:c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50" t="str">
        <x:v>IT-1043</x:v>
      </x:c>
      <x:c r="B46" s="50" t="str">
        <x:v>Laptop</x:v>
      </x:c>
      <x:c r="C46" s="50" t="str">
        <x:v>Dell</x:v>
      </x:c>
      <x:c r="D46" s="50" t="str">
        <x:v>Latitude 5440</x:v>
      </x:c>
      <x:c r="E46" s="50" t="str">
        <x:v>SIM332133</x:v>
      </x:c>
      <x:c r="F46" s="50" t="str">
        <x:v>User-28</x:v>
      </x:c>
      <x:c r="G46" s="50" t="str">
        <x:v>Project Site B</x:v>
      </x:c>
      <x:c r="H46" s="50" t="str">
        <x:v>In Stock</x:v>
      </x:c>
      <x:c r="I46" s="50" t="str">
        <x:v>Windows 11</x:v>
      </x:c>
      <x:c r="J46" s="50" t="n">
        <x:v>16</x:v>
      </x:c>
      <x:c r="K46" s="50" t="n">
        <x:v>256</x:v>
      </x:c>
      <x:c r="L46" s="50" t="str">
        <x:v>Simulated asset record</x:v>
      </x:c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50" t="str">
        <x:v>IT-1044</x:v>
      </x:c>
      <x:c r="B47" s="50" t="str">
        <x:v>Monitor</x:v>
      </x:c>
      <x:c r="C47" s="50" t="str">
        <x:v>Dell</x:v>
      </x:c>
      <x:c r="D47" s="50" t="str">
        <x:v>P2422H</x:v>
      </x:c>
      <x:c r="E47" s="50" t="str">
        <x:v>SIM734576</x:v>
      </x:c>
      <x:c r="F47" s="50" t="str"/>
      <x:c r="G47" s="50" t="str">
        <x:v>Project Site B</x:v>
      </x:c>
      <x:c r="H47" s="50" t="str">
        <x:v>Assigned</x:v>
      </x:c>
      <x:c r="I47" s="50" t="str">
        <x:v>N/A</x:v>
      </x:c>
      <x:c r="J47" s="50" t="n">
        <x:v>0</x:v>
      </x:c>
      <x:c r="K47" s="50" t="n">
        <x:v>0</x:v>
      </x:c>
      <x:c r="L47" s="50" t="str">
        <x:v>Simulated asset record</x:v>
      </x:c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50" t="str">
        <x:v>IT-1045</x:v>
      </x:c>
      <x:c r="B48" s="50" t="str">
        <x:v>Laptop</x:v>
      </x:c>
      <x:c r="C48" s="50" t="str">
        <x:v>Dell</x:v>
      </x:c>
      <x:c r="D48" s="50" t="str">
        <x:v>Latitude 5440</x:v>
      </x:c>
      <x:c r="E48" s="50" t="str">
        <x:v>SIM527770</x:v>
      </x:c>
      <x:c r="F48" s="50" t="str">
        <x:v>User-16</x:v>
      </x:c>
      <x:c r="G48" s="50" t="str">
        <x:v>Project Site A</x:v>
      </x:c>
      <x:c r="H48" s="50" t="str">
        <x:v>In Stock</x:v>
      </x:c>
      <x:c r="I48" s="50" t="str">
        <x:v>Windows 11</x:v>
      </x:c>
      <x:c r="J48" s="50" t="n">
        <x:v>16</x:v>
      </x:c>
      <x:c r="K48" s="50" t="n">
        <x:v>512</x:v>
      </x:c>
      <x:c r="L48" s="50" t="str">
        <x:v>Simulated asset record</x:v>
      </x:c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50" t="str">
        <x:v>IT-1046</x:v>
      </x:c>
      <x:c r="B49" s="50" t="str">
        <x:v>Dock</x:v>
      </x:c>
      <x:c r="C49" s="50" t="str">
        <x:v>Dell</x:v>
      </x:c>
      <x:c r="D49" s="50" t="str">
        <x:v>WD19S</x:v>
      </x:c>
      <x:c r="E49" s="50" t="str">
        <x:v>SIM469846</x:v>
      </x:c>
      <x:c r="F49" s="50" t="str"/>
      <x:c r="G49" s="50" t="str">
        <x:v>Project Site A</x:v>
      </x:c>
      <x:c r="H49" s="50" t="str">
        <x:v>Assigned</x:v>
      </x:c>
      <x:c r="I49" s="50" t="str">
        <x:v>N/A</x:v>
      </x:c>
      <x:c r="J49" s="50" t="n">
        <x:v>0</x:v>
      </x:c>
      <x:c r="K49" s="50" t="n">
        <x:v>0</x:v>
      </x:c>
      <x:c r="L49" s="50" t="str">
        <x:v>Simulated asset record</x:v>
      </x:c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50" t="str">
        <x:v>IT-1047</x:v>
      </x:c>
      <x:c r="B50" s="50" t="str">
        <x:v>Laptop</x:v>
      </x:c>
      <x:c r="C50" s="50" t="str">
        <x:v>Dell</x:v>
      </x:c>
      <x:c r="D50" s="50" t="str">
        <x:v>Latitude 5440</x:v>
      </x:c>
      <x:c r="E50" s="50" t="str">
        <x:v>SIM702287</x:v>
      </x:c>
      <x:c r="F50" s="50" t="str">
        <x:v>User-23</x:v>
      </x:c>
      <x:c r="G50" s="50" t="str">
        <x:v>Project Site A</x:v>
      </x:c>
      <x:c r="H50" s="50" t="str">
        <x:v>Assigned</x:v>
      </x:c>
      <x:c r="I50" s="50" t="str">
        <x:v>Windows 11</x:v>
      </x:c>
      <x:c r="J50" s="50" t="n">
        <x:v>16</x:v>
      </x:c>
      <x:c r="K50" s="50" t="n">
        <x:v>256</x:v>
      </x:c>
      <x:c r="L50" s="50" t="str">
        <x:v>Simulated asset record</x:v>
      </x:c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50" t="str">
        <x:v>IT-1048</x:v>
      </x:c>
      <x:c r="B51" s="50" t="str">
        <x:v>Laptop</x:v>
      </x:c>
      <x:c r="C51" s="50" t="str">
        <x:v>Dell</x:v>
      </x:c>
      <x:c r="D51" s="50" t="str">
        <x:v>Latitude 5440</x:v>
      </x:c>
      <x:c r="E51" s="50" t="str">
        <x:v>SIM690975</x:v>
      </x:c>
      <x:c r="F51" s="50" t="str">
        <x:v>User-11</x:v>
      </x:c>
      <x:c r="G51" s="50" t="str">
        <x:v>Winnipeg Office</x:v>
      </x:c>
      <x:c r="H51" s="50" t="str">
        <x:v>Repair</x:v>
      </x:c>
      <x:c r="I51" s="50" t="str">
        <x:v>Windows 11</x:v>
      </x:c>
      <x:c r="J51" s="50" t="n">
        <x:v>8</x:v>
      </x:c>
      <x:c r="K51" s="50" t="n">
        <x:v>256</x:v>
      </x:c>
      <x:c r="L51" s="50" t="str">
        <x:v>Simulated asset record</x:v>
      </x:c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50" t="str">
        <x:v>IT-1049</x:v>
      </x:c>
      <x:c r="B52" s="50" t="str">
        <x:v>Laptop</x:v>
      </x:c>
      <x:c r="C52" s="50" t="str">
        <x:v>Dell</x:v>
      </x:c>
      <x:c r="D52" s="50" t="str">
        <x:v>Latitude 5440</x:v>
      </x:c>
      <x:c r="E52" s="50" t="str">
        <x:v>SIM390664</x:v>
      </x:c>
      <x:c r="F52" s="50" t="str">
        <x:v>User-06</x:v>
      </x:c>
      <x:c r="G52" s="50" t="str">
        <x:v>Project Site B</x:v>
      </x:c>
      <x:c r="H52" s="50" t="str">
        <x:v>Assigned</x:v>
      </x:c>
      <x:c r="I52" s="50" t="str">
        <x:v>Windows 11</x:v>
      </x:c>
      <x:c r="J52" s="50" t="n">
        <x:v>32</x:v>
      </x:c>
      <x:c r="K52" s="50" t="n">
        <x:v>1024</x:v>
      </x:c>
      <x:c r="L52" s="50" t="str">
        <x:v>Simulated asset record</x:v>
      </x:c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50" t="str">
        <x:v>IT-1050</x:v>
      </x:c>
      <x:c r="B53" s="50" t="str">
        <x:v>Laptop</x:v>
      </x:c>
      <x:c r="C53" s="50" t="str">
        <x:v>Dell</x:v>
      </x:c>
      <x:c r="D53" s="50" t="str">
        <x:v>Latitude 5440</x:v>
      </x:c>
      <x:c r="E53" s="50" t="str">
        <x:v>SIM663182</x:v>
      </x:c>
      <x:c r="F53" s="50" t="str">
        <x:v>User-12</x:v>
      </x:c>
      <x:c r="G53" s="50" t="str">
        <x:v>Winnipeg Office</x:v>
      </x:c>
      <x:c r="H53" s="50" t="str">
        <x:v>In Stock</x:v>
      </x:c>
      <x:c r="I53" s="50" t="str">
        <x:v>Windows 11</x:v>
      </x:c>
      <x:c r="J53" s="50" t="n">
        <x:v>8</x:v>
      </x:c>
      <x:c r="K53" s="50" t="n">
        <x:v>1024</x:v>
      </x:c>
      <x:c r="L53" s="50" t="str">
        <x:v>Simulated asset record</x:v>
      </x:c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</x:sheetData>
  <x:mergeCells>
    <x:mergeCell ref="A1:L1"/>
  </x:mergeCells>
  <x:conditionalFormatting sqref="H4:H53">
    <x:cfRule type="expression" dxfId="3" priority="1">
      <x:formula>H4="Repair"</x:formula>
    </x:cfRule>
    <x:cfRule type="expression" dxfId="4" priority="2">
      <x:formula>H4="In Stock"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2" hidden="0" customWidth="1"/>
    <x:col min="4" max="4" width="17" hidden="0" customWidth="1"/>
    <x:col min="5" max="5" width="11" hidden="0" customWidth="1"/>
    <x:col min="6" max="6" width="15" hidden="0" customWidth="1"/>
    <x:col min="7" max="7" width="11" hidden="0" customWidth="1"/>
    <x:col min="8" max="8" width="13" hidden="0" customWidth="1"/>
    <x:col min="9" max="9" width="12" hidden="0" customWidth="1"/>
    <x:col min="10" max="10" width="14" hidden="0" customWidth="1"/>
    <x:col min="11" max="11" width="13" hidden="0" customWidth="1"/>
    <x:col min="12" max="12" width="16" hidden="0" customWidth="1"/>
    <x:col min="13" max="13" width="26" hidden="0" customWidth="1"/>
  </x:cols>
  <x:sheetData>
    <x:row r="1">
      <x:c r="A1" s="5" t="str">
        <x:v>Hardware Deployment Tracker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26" t="str">
        <x:v>Deployment ID</x:v>
      </x:c>
      <x:c r="B3" s="26" t="str">
        <x:v>Asset Tag</x:v>
      </x:c>
      <x:c r="C3" s="26" t="str">
        <x:v>User</x:v>
      </x:c>
      <x:c r="D3" s="26" t="str">
        <x:v>Location</x:v>
      </x:c>
      <x:c r="E3" s="26" t="str">
        <x:v>Prepared</x:v>
      </x:c>
      <x:c r="F3" s="26" t="str">
        <x:v>Windows Updated</x:v>
      </x:c>
      <x:c r="G3" s="26" t="str">
        <x:v>M365 Ready</x:v>
      </x:c>
      <x:c r="H3" s="26" t="str">
        <x:v>Security Check</x:v>
      </x:c>
      <x:c r="I3" s="26" t="str">
        <x:v>Peripherals</x:v>
      </x:c>
      <x:c r="J3" s="26" t="str">
        <x:v>Data / Profile</x:v>
      </x:c>
      <x:c r="K3" s="26" t="str">
        <x:v>User Handoff</x:v>
      </x:c>
      <x:c r="L3" s="26" t="str">
        <x:v>Status</x:v>
      </x:c>
      <x:c r="M3" s="26" t="str">
        <x:v>Notes</x:v>
      </x:c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50" t="str">
        <x:v>DEP-001</x:v>
      </x:c>
      <x:c r="B4" s="50" t="str">
        <x:v>IT-1003</x:v>
      </x:c>
      <x:c r="C4" s="50" t="str">
        <x:v>User-01</x:v>
      </x:c>
      <x:c r="D4" s="50" t="str">
        <x:v>Winnipeg Office</x:v>
      </x:c>
      <x:c r="E4" s="50" t="str">
        <x:v>No</x:v>
      </x:c>
      <x:c r="F4" s="50" t="str">
        <x:v>Yes</x:v>
      </x:c>
      <x:c r="G4" s="50" t="str">
        <x:v>Yes</x:v>
      </x:c>
      <x:c r="H4" s="50" t="str">
        <x:v>No</x:v>
      </x:c>
      <x:c r="I4" s="50" t="str">
        <x:v>Yes</x:v>
      </x:c>
      <x:c r="J4" s="50" t="str">
        <x:v>Yes</x:v>
      </x:c>
      <x:c r="K4" s="50" t="str">
        <x:v>Yes</x:v>
      </x:c>
      <x:c r="L4" s="50" t="str">
        <x:v>In Progress</x:v>
      </x:c>
      <x:c r="M4" s="50" t="str">
        <x:v>Simulated deployment record</x:v>
      </x:c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50" t="str">
        <x:v>DEP-002</x:v>
      </x:c>
      <x:c r="B5" s="50" t="str">
        <x:v>IT-1030</x:v>
      </x:c>
      <x:c r="C5" s="50" t="str">
        <x:v>User-18</x:v>
      </x:c>
      <x:c r="D5" s="50" t="str">
        <x:v>Project Site C</x:v>
      </x:c>
      <x:c r="E5" s="50" t="str">
        <x:v>Yes</x:v>
      </x:c>
      <x:c r="F5" s="50" t="str">
        <x:v>No</x:v>
      </x:c>
      <x:c r="G5" s="50" t="str">
        <x:v>Yes</x:v>
      </x:c>
      <x:c r="H5" s="50" t="str">
        <x:v>Yes</x:v>
      </x:c>
      <x:c r="I5" s="50" t="str">
        <x:v>Yes</x:v>
      </x:c>
      <x:c r="J5" s="50" t="str">
        <x:v>No</x:v>
      </x:c>
      <x:c r="K5" s="50" t="str">
        <x:v>Yes</x:v>
      </x:c>
      <x:c r="L5" s="50" t="str">
        <x:v>Ready for Handoff</x:v>
      </x:c>
      <x:c r="M5" s="50" t="str">
        <x:v>Simulated deployment record</x:v>
      </x:c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50" t="str">
        <x:v>DEP-003</x:v>
      </x:c>
      <x:c r="B6" s="50" t="str">
        <x:v>IT-1015</x:v>
      </x:c>
      <x:c r="C6" s="50" t="str">
        <x:v>User-05</x:v>
      </x:c>
      <x:c r="D6" s="50" t="str">
        <x:v>Project Site C</x:v>
      </x:c>
      <x:c r="E6" s="50" t="str">
        <x:v>Yes</x:v>
      </x:c>
      <x:c r="F6" s="50" t="str">
        <x:v>Yes</x:v>
      </x:c>
      <x:c r="G6" s="50" t="str">
        <x:v>No</x:v>
      </x:c>
      <x:c r="H6" s="50" t="str">
        <x:v>Yes</x:v>
      </x:c>
      <x:c r="I6" s="50" t="str">
        <x:v>Yes</x:v>
      </x:c>
      <x:c r="J6" s="50" t="str">
        <x:v>No</x:v>
      </x:c>
      <x:c r="K6" s="50" t="str">
        <x:v>Yes</x:v>
      </x:c>
      <x:c r="L6" s="50" t="str">
        <x:v>Ready for Handoff</x:v>
      </x:c>
      <x:c r="M6" s="50" t="str">
        <x:v>Simulated deployment record</x:v>
      </x:c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50" t="str">
        <x:v>DEP-004</x:v>
      </x:c>
      <x:c r="B7" s="50" t="str">
        <x:v>IT-1007</x:v>
      </x:c>
      <x:c r="C7" s="50" t="str">
        <x:v>User-02</x:v>
      </x:c>
      <x:c r="D7" s="50" t="str">
        <x:v>Project Site B</x:v>
      </x:c>
      <x:c r="E7" s="50" t="str">
        <x:v>Yes</x:v>
      </x:c>
      <x:c r="F7" s="50" t="str">
        <x:v>No</x:v>
      </x:c>
      <x:c r="G7" s="50" t="str">
        <x:v>No</x:v>
      </x:c>
      <x:c r="H7" s="50" t="str">
        <x:v>Yes</x:v>
      </x:c>
      <x:c r="I7" s="50" t="str">
        <x:v>Yes</x:v>
      </x:c>
      <x:c r="J7" s="50" t="str">
        <x:v>Yes</x:v>
      </x:c>
      <x:c r="K7" s="50" t="str">
        <x:v>Yes</x:v>
      </x:c>
      <x:c r="L7" s="50" t="str">
        <x:v>Ready for Handoff</x:v>
      </x:c>
      <x:c r="M7" s="50" t="str">
        <x:v>Simulated deployment record</x:v>
      </x:c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50" t="str">
        <x:v>DEP-005</x:v>
      </x:c>
      <x:c r="B8" s="50" t="str">
        <x:v>IT-1002</x:v>
      </x:c>
      <x:c r="C8" s="50" t="str">
        <x:v>User-05</x:v>
      </x:c>
      <x:c r="D8" s="50" t="str">
        <x:v>Project Site A</x:v>
      </x:c>
      <x:c r="E8" s="50" t="str">
        <x:v>No</x:v>
      </x:c>
      <x:c r="F8" s="50" t="str">
        <x:v>Yes</x:v>
      </x:c>
      <x:c r="G8" s="50" t="str">
        <x:v>Yes</x:v>
      </x:c>
      <x:c r="H8" s="50" t="str">
        <x:v>Yes</x:v>
      </x:c>
      <x:c r="I8" s="50" t="str">
        <x:v>Yes</x:v>
      </x:c>
      <x:c r="J8" s="50" t="str">
        <x:v>Yes</x:v>
      </x:c>
      <x:c r="K8" s="50" t="str">
        <x:v>Yes</x:v>
      </x:c>
      <x:c r="L8" s="50" t="str">
        <x:v>Ready for Handoff</x:v>
      </x:c>
      <x:c r="M8" s="50" t="str">
        <x:v>Simulated deployment record</x:v>
      </x:c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50" t="str">
        <x:v>DEP-006</x:v>
      </x:c>
      <x:c r="B9" s="50" t="str">
        <x:v>IT-1025</x:v>
      </x:c>
      <x:c r="C9" s="50" t="str">
        <x:v>User-03</x:v>
      </x:c>
      <x:c r="D9" s="50" t="str">
        <x:v>Project Site B</x:v>
      </x:c>
      <x:c r="E9" s="50" t="str">
        <x:v>Yes</x:v>
      </x:c>
      <x:c r="F9" s="50" t="str">
        <x:v>No</x:v>
      </x:c>
      <x:c r="G9" s="50" t="str">
        <x:v>Yes</x:v>
      </x:c>
      <x:c r="H9" s="50" t="str">
        <x:v>Yes</x:v>
      </x:c>
      <x:c r="I9" s="50" t="str">
        <x:v>Yes</x:v>
      </x:c>
      <x:c r="J9" s="50" t="str">
        <x:v>Yes</x:v>
      </x:c>
      <x:c r="K9" s="50" t="str">
        <x:v>No</x:v>
      </x:c>
      <x:c r="L9" s="50" t="str">
        <x:v>Ready for Handoff</x:v>
      </x:c>
      <x:c r="M9" s="50" t="str">
        <x:v>Simulated deployment record</x:v>
      </x:c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50" t="str">
        <x:v>DEP-007</x:v>
      </x:c>
      <x:c r="B10" s="50" t="str">
        <x:v>IT-1012</x:v>
      </x:c>
      <x:c r="C10" s="50" t="str">
        <x:v>User-22</x:v>
      </x:c>
      <x:c r="D10" s="50" t="str">
        <x:v>Project Site C</x:v>
      </x:c>
      <x:c r="E10" s="50" t="str">
        <x:v>No</x:v>
      </x:c>
      <x:c r="F10" s="50" t="str">
        <x:v>Yes</x:v>
      </x:c>
      <x:c r="G10" s="50" t="str">
        <x:v>Yes</x:v>
      </x:c>
      <x:c r="H10" s="50" t="str">
        <x:v>Yes</x:v>
      </x:c>
      <x:c r="I10" s="50" t="str">
        <x:v>Yes</x:v>
      </x:c>
      <x:c r="J10" s="50" t="str">
        <x:v>Yes</x:v>
      </x:c>
      <x:c r="K10" s="50" t="str">
        <x:v>Yes</x:v>
      </x:c>
      <x:c r="L10" s="50" t="str">
        <x:v>Ready for Handoff</x:v>
      </x:c>
      <x:c r="M10" s="50" t="str">
        <x:v>Simulated deployment record</x:v>
      </x:c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50" t="str">
        <x:v>DEP-008</x:v>
      </x:c>
      <x:c r="B11" s="50" t="str">
        <x:v>IT-1027</x:v>
      </x:c>
      <x:c r="C11" s="50" t="str">
        <x:v>User-02</x:v>
      </x:c>
      <x:c r="D11" s="50" t="str">
        <x:v>Project Site B</x:v>
      </x:c>
      <x:c r="E11" s="50" t="str">
        <x:v>No</x:v>
      </x:c>
      <x:c r="F11" s="50" t="str">
        <x:v>No</x:v>
      </x:c>
      <x:c r="G11" s="50" t="str">
        <x:v>Yes</x:v>
      </x:c>
      <x:c r="H11" s="50" t="str">
        <x:v>Yes</x:v>
      </x:c>
      <x:c r="I11" s="50" t="str">
        <x:v>Yes</x:v>
      </x:c>
      <x:c r="J11" s="50" t="str">
        <x:v>Yes</x:v>
      </x:c>
      <x:c r="K11" s="50" t="str">
        <x:v>No</x:v>
      </x:c>
      <x:c r="L11" s="50" t="str">
        <x:v>In Progress</x:v>
      </x:c>
      <x:c r="M11" s="50" t="str">
        <x:v>Simulated deployment record</x:v>
      </x:c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50" t="str">
        <x:v>DEP-009</x:v>
      </x:c>
      <x:c r="B12" s="50" t="str">
        <x:v>IT-1006</x:v>
      </x:c>
      <x:c r="C12" s="50" t="str">
        <x:v>User-09</x:v>
      </x:c>
      <x:c r="D12" s="50" t="str">
        <x:v>Winnipeg Office</x:v>
      </x:c>
      <x:c r="E12" s="50" t="str">
        <x:v>Yes</x:v>
      </x:c>
      <x:c r="F12" s="50" t="str">
        <x:v>No</x:v>
      </x:c>
      <x:c r="G12" s="50" t="str">
        <x:v>Yes</x:v>
      </x:c>
      <x:c r="H12" s="50" t="str">
        <x:v>Yes</x:v>
      </x:c>
      <x:c r="I12" s="50" t="str">
        <x:v>Yes</x:v>
      </x:c>
      <x:c r="J12" s="50" t="str">
        <x:v>Yes</x:v>
      </x:c>
      <x:c r="K12" s="50" t="str">
        <x:v>Yes</x:v>
      </x:c>
      <x:c r="L12" s="50" t="str">
        <x:v>In Progress</x:v>
      </x:c>
      <x:c r="M12" s="50" t="str">
        <x:v>Simulated deployment record</x:v>
      </x:c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50" t="str">
        <x:v>DEP-010</x:v>
      </x:c>
      <x:c r="B13" s="50" t="str">
        <x:v>IT-1006</x:v>
      </x:c>
      <x:c r="C13" s="50" t="str">
        <x:v>User-10</x:v>
      </x:c>
      <x:c r="D13" s="50" t="str">
        <x:v>Project Site A</x:v>
      </x:c>
      <x:c r="E13" s="50" t="str">
        <x:v>Yes</x:v>
      </x:c>
      <x:c r="F13" s="50" t="str">
        <x:v>Yes</x:v>
      </x:c>
      <x:c r="G13" s="50" t="str">
        <x:v>Yes</x:v>
      </x:c>
      <x:c r="H13" s="50" t="str">
        <x:v>Yes</x:v>
      </x:c>
      <x:c r="I13" s="50" t="str">
        <x:v>Yes</x:v>
      </x:c>
      <x:c r="J13" s="50" t="str">
        <x:v>Yes</x:v>
      </x:c>
      <x:c r="K13" s="50" t="str">
        <x:v>Yes</x:v>
      </x:c>
      <x:c r="L13" s="50" t="str">
        <x:v>Complete</x:v>
      </x:c>
      <x:c r="M13" s="50" t="str">
        <x:v>Simulated deployment record</x:v>
      </x:c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50" t="str">
        <x:v>DEP-011</x:v>
      </x:c>
      <x:c r="B14" s="50" t="str">
        <x:v>IT-1020</x:v>
      </x:c>
      <x:c r="C14" s="50" t="str">
        <x:v>User-10</x:v>
      </x:c>
      <x:c r="D14" s="50" t="str">
        <x:v>Winnipeg Office</x:v>
      </x:c>
      <x:c r="E14" s="50" t="str">
        <x:v>Yes</x:v>
      </x:c>
      <x:c r="F14" s="50" t="str">
        <x:v>Yes</x:v>
      </x:c>
      <x:c r="G14" s="50" t="str">
        <x:v>Yes</x:v>
      </x:c>
      <x:c r="H14" s="50" t="str">
        <x:v>Yes</x:v>
      </x:c>
      <x:c r="I14" s="50" t="str">
        <x:v>Yes</x:v>
      </x:c>
      <x:c r="J14" s="50" t="str">
        <x:v>Yes</x:v>
      </x:c>
      <x:c r="K14" s="50" t="str">
        <x:v>No</x:v>
      </x:c>
      <x:c r="L14" s="50" t="str">
        <x:v>In Progress</x:v>
      </x:c>
      <x:c r="M14" s="50" t="str">
        <x:v>Simulated deployment record</x:v>
      </x:c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50" t="str">
        <x:v>DEP-012</x:v>
      </x:c>
      <x:c r="B15" s="50" t="str">
        <x:v>IT-1017</x:v>
      </x:c>
      <x:c r="C15" s="50" t="str">
        <x:v>User-04</x:v>
      </x:c>
      <x:c r="D15" s="50" t="str">
        <x:v>Project Site C</x:v>
      </x:c>
      <x:c r="E15" s="50" t="str">
        <x:v>Yes</x:v>
      </x:c>
      <x:c r="F15" s="50" t="str">
        <x:v>Yes</x:v>
      </x:c>
      <x:c r="G15" s="50" t="str">
        <x:v>Yes</x:v>
      </x:c>
      <x:c r="H15" s="50" t="str">
        <x:v>Yes</x:v>
      </x:c>
      <x:c r="I15" s="50" t="str">
        <x:v>Yes</x:v>
      </x:c>
      <x:c r="J15" s="50" t="str">
        <x:v>Yes</x:v>
      </x:c>
      <x:c r="K15" s="50" t="str">
        <x:v>No</x:v>
      </x:c>
      <x:c r="L15" s="50" t="str">
        <x:v>In Progress</x:v>
      </x:c>
      <x:c r="M15" s="50" t="str">
        <x:v>Simulated deployment record</x:v>
      </x:c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50" t="str">
        <x:v>DEP-013</x:v>
      </x:c>
      <x:c r="B16" s="50" t="str">
        <x:v>IT-1024</x:v>
      </x:c>
      <x:c r="C16" s="50" t="str">
        <x:v>User-16</x:v>
      </x:c>
      <x:c r="D16" s="50" t="str">
        <x:v>Winnipeg Office</x:v>
      </x:c>
      <x:c r="E16" s="50" t="str">
        <x:v>Yes</x:v>
      </x:c>
      <x:c r="F16" s="50" t="str">
        <x:v>Yes</x:v>
      </x:c>
      <x:c r="G16" s="50" t="str">
        <x:v>No</x:v>
      </x:c>
      <x:c r="H16" s="50" t="str">
        <x:v>Yes</x:v>
      </x:c>
      <x:c r="I16" s="50" t="str">
        <x:v>Yes</x:v>
      </x:c>
      <x:c r="J16" s="50" t="str">
        <x:v>Yes</x:v>
      </x:c>
      <x:c r="K16" s="50" t="str">
        <x:v>Yes</x:v>
      </x:c>
      <x:c r="L16" s="50" t="str">
        <x:v>Ready for Handoff</x:v>
      </x:c>
      <x:c r="M16" s="50" t="str">
        <x:v>Simulated deployment record</x:v>
      </x:c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50" t="str">
        <x:v>DEP-014</x:v>
      </x:c>
      <x:c r="B17" s="50" t="str">
        <x:v>IT-1013</x:v>
      </x:c>
      <x:c r="C17" s="50" t="str">
        <x:v>User-03</x:v>
      </x:c>
      <x:c r="D17" s="50" t="str">
        <x:v>Project Site B</x:v>
      </x:c>
      <x:c r="E17" s="50" t="str">
        <x:v>Yes</x:v>
      </x:c>
      <x:c r="F17" s="50" t="str">
        <x:v>Yes</x:v>
      </x:c>
      <x:c r="G17" s="50" t="str">
        <x:v>Yes</x:v>
      </x:c>
      <x:c r="H17" s="50" t="str">
        <x:v>Yes</x:v>
      </x:c>
      <x:c r="I17" s="50" t="str">
        <x:v>Yes</x:v>
      </x:c>
      <x:c r="J17" s="50" t="str">
        <x:v>No</x:v>
      </x:c>
      <x:c r="K17" s="50" t="str">
        <x:v>No</x:v>
      </x:c>
      <x:c r="L17" s="50" t="str">
        <x:v>Ready for Handoff</x:v>
      </x:c>
      <x:c r="M17" s="50" t="str">
        <x:v>Simulated deployment record</x:v>
      </x:c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50" t="str">
        <x:v>DEP-015</x:v>
      </x:c>
      <x:c r="B18" s="50" t="str">
        <x:v>IT-1024</x:v>
      </x:c>
      <x:c r="C18" s="50" t="str">
        <x:v>User-04</x:v>
      </x:c>
      <x:c r="D18" s="50" t="str">
        <x:v>Project Site B</x:v>
      </x:c>
      <x:c r="E18" s="50" t="str">
        <x:v>Yes</x:v>
      </x:c>
      <x:c r="F18" s="50" t="str">
        <x:v>No</x:v>
      </x:c>
      <x:c r="G18" s="50" t="str">
        <x:v>Yes</x:v>
      </x:c>
      <x:c r="H18" s="50" t="str">
        <x:v>Yes</x:v>
      </x:c>
      <x:c r="I18" s="50" t="str">
        <x:v>Yes</x:v>
      </x:c>
      <x:c r="J18" s="50" t="str">
        <x:v>Yes</x:v>
      </x:c>
      <x:c r="K18" s="50" t="str">
        <x:v>No</x:v>
      </x:c>
      <x:c r="L18" s="50" t="str">
        <x:v>Ready for Handoff</x:v>
      </x:c>
      <x:c r="M18" s="50" t="str">
        <x:v>Simulated deployment record</x:v>
      </x:c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50" t="str">
        <x:v>DEP-016</x:v>
      </x:c>
      <x:c r="B19" s="50" t="str">
        <x:v>IT-1030</x:v>
      </x:c>
      <x:c r="C19" s="50" t="str">
        <x:v>User-07</x:v>
      </x:c>
      <x:c r="D19" s="50" t="str">
        <x:v>Project Site B</x:v>
      </x:c>
      <x:c r="E19" s="50" t="str">
        <x:v>No</x:v>
      </x:c>
      <x:c r="F19" s="50" t="str">
        <x:v>No</x:v>
      </x:c>
      <x:c r="G19" s="50" t="str">
        <x:v>No</x:v>
      </x:c>
      <x:c r="H19" s="50" t="str">
        <x:v>Yes</x:v>
      </x:c>
      <x:c r="I19" s="50" t="str">
        <x:v>Yes</x:v>
      </x:c>
      <x:c r="J19" s="50" t="str">
        <x:v>Yes</x:v>
      </x:c>
      <x:c r="K19" s="50" t="str">
        <x:v>Yes</x:v>
      </x:c>
      <x:c r="L19" s="50" t="str">
        <x:v>In Progress</x:v>
      </x:c>
      <x:c r="M19" s="50" t="str">
        <x:v>Simulated deployment record</x:v>
      </x:c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50" t="str">
        <x:v>DEP-017</x:v>
      </x:c>
      <x:c r="B20" s="50" t="str">
        <x:v>IT-1010</x:v>
      </x:c>
      <x:c r="C20" s="50" t="str">
        <x:v>User-01</x:v>
      </x:c>
      <x:c r="D20" s="50" t="str">
        <x:v>Project Site C</x:v>
      </x:c>
      <x:c r="E20" s="50" t="str">
        <x:v>Yes</x:v>
      </x:c>
      <x:c r="F20" s="50" t="str">
        <x:v>Yes</x:v>
      </x:c>
      <x:c r="G20" s="50" t="str">
        <x:v>Yes</x:v>
      </x:c>
      <x:c r="H20" s="50" t="str">
        <x:v>No</x:v>
      </x:c>
      <x:c r="I20" s="50" t="str">
        <x:v>Yes</x:v>
      </x:c>
      <x:c r="J20" s="50" t="str">
        <x:v>Yes</x:v>
      </x:c>
      <x:c r="K20" s="50" t="str">
        <x:v>Yes</x:v>
      </x:c>
      <x:c r="L20" s="50" t="str">
        <x:v>Ready for Handoff</x:v>
      </x:c>
      <x:c r="M20" s="50" t="str">
        <x:v>Simulated deployment record</x:v>
      </x:c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50" t="str">
        <x:v>DEP-018</x:v>
      </x:c>
      <x:c r="B21" s="50" t="str">
        <x:v>IT-1030</x:v>
      </x:c>
      <x:c r="C21" s="50" t="str">
        <x:v>User-08</x:v>
      </x:c>
      <x:c r="D21" s="50" t="str">
        <x:v>Project Site C</x:v>
      </x:c>
      <x:c r="E21" s="50" t="str">
        <x:v>Yes</x:v>
      </x:c>
      <x:c r="F21" s="50" t="str">
        <x:v>Yes</x:v>
      </x:c>
      <x:c r="G21" s="50" t="str">
        <x:v>Yes</x:v>
      </x:c>
      <x:c r="H21" s="50" t="str">
        <x:v>No</x:v>
      </x:c>
      <x:c r="I21" s="50" t="str">
        <x:v>Yes</x:v>
      </x:c>
      <x:c r="J21" s="50" t="str">
        <x:v>Yes</x:v>
      </x:c>
      <x:c r="K21" s="50" t="str">
        <x:v>No</x:v>
      </x:c>
      <x:c r="L21" s="50" t="str">
        <x:v>Ready for Handoff</x:v>
      </x:c>
      <x:c r="M21" s="50" t="str">
        <x:v>Simulated deployment record</x:v>
      </x:c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50" t="str">
        <x:v>DEP-019</x:v>
      </x:c>
      <x:c r="B22" s="50" t="str">
        <x:v>IT-1024</x:v>
      </x:c>
      <x:c r="C22" s="50" t="str">
        <x:v>User-16</x:v>
      </x:c>
      <x:c r="D22" s="50" t="str">
        <x:v>Project Site B</x:v>
      </x:c>
      <x:c r="E22" s="50" t="str">
        <x:v>No</x:v>
      </x:c>
      <x:c r="F22" s="50" t="str">
        <x:v>Yes</x:v>
      </x:c>
      <x:c r="G22" s="50" t="str">
        <x:v>Yes</x:v>
      </x:c>
      <x:c r="H22" s="50" t="str">
        <x:v>Yes</x:v>
      </x:c>
      <x:c r="I22" s="50" t="str">
        <x:v>Yes</x:v>
      </x:c>
      <x:c r="J22" s="50" t="str">
        <x:v>Yes</x:v>
      </x:c>
      <x:c r="K22" s="50" t="str">
        <x:v>Yes</x:v>
      </x:c>
      <x:c r="L22" s="50" t="str">
        <x:v>In Progress</x:v>
      </x:c>
      <x:c r="M22" s="50" t="str">
        <x:v>Simulated deployment record</x:v>
      </x:c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50" t="str">
        <x:v>DEP-020</x:v>
      </x:c>
      <x:c r="B23" s="50" t="str">
        <x:v>IT-1003</x:v>
      </x:c>
      <x:c r="C23" s="50" t="str">
        <x:v>User-19</x:v>
      </x:c>
      <x:c r="D23" s="50" t="str">
        <x:v>Project Site C</x:v>
      </x:c>
      <x:c r="E23" s="50" t="str">
        <x:v>Yes</x:v>
      </x:c>
      <x:c r="F23" s="50" t="str">
        <x:v>Yes</x:v>
      </x:c>
      <x:c r="G23" s="50" t="str">
        <x:v>No</x:v>
      </x:c>
      <x:c r="H23" s="50" t="str">
        <x:v>Yes</x:v>
      </x:c>
      <x:c r="I23" s="50" t="str">
        <x:v>Yes</x:v>
      </x:c>
      <x:c r="J23" s="50" t="str">
        <x:v>Yes</x:v>
      </x:c>
      <x:c r="K23" s="50" t="str">
        <x:v>Yes</x:v>
      </x:c>
      <x:c r="L23" s="50" t="str">
        <x:v>In Progress</x:v>
      </x:c>
      <x:c r="M23" s="50" t="str">
        <x:v>Simulated deployment record</x:v>
      </x:c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</x:sheetData>
  <x:mergeCells>
    <x:mergeCell ref="A1:M1"/>
  </x:mergeCells>
  <x:conditionalFormatting sqref="L4:L23">
    <x:cfRule type="expression" dxfId="5" priority="1">
      <x:formula>L4="Complete"</x:formula>
    </x:cfRule>
    <x:cfRule type="expression" dxfId="6" priority="2">
      <x:formula>L4="In Progress"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20" hidden="0" customWidth="1"/>
    <x:col min="4" max="4" width="20" hidden="0" customWidth="1"/>
    <x:col min="5" max="5" width="16" hidden="0" customWidth="1"/>
    <x:col min="6" max="6" width="16" hidden="0" customWidth="1"/>
    <x:col min="7" max="7" width="10" hidden="0" customWidth="1"/>
    <x:col min="8" max="8" width="28" hidden="0" customWidth="1"/>
    <x:col min="9" max="9" width="16" hidden="0" customWidth="1"/>
  </x:cols>
  <x:sheetData>
    <x:row r="1">
      <x:c r="A1" s="5" t="str">
        <x:v>Equipment Audit &amp; Shipment Check</x:v>
      </x:c>
      <x:c r="B1" s="5"/>
      <x:c r="C1" s="5"/>
      <x:c r="D1" s="5"/>
      <x:c r="E1" s="5"/>
      <x:c r="F1" s="5"/>
      <x:c r="G1" s="5"/>
      <x:c r="H1" s="5"/>
      <x:c r="I1" s="5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26" t="str">
        <x:v>Audit ID</x:v>
      </x:c>
      <x:c r="B3" s="26" t="str">
        <x:v>Asset Tag</x:v>
      </x:c>
      <x:c r="C3" s="26" t="str">
        <x:v>Expected Location</x:v>
      </x:c>
      <x:c r="D3" s="26" t="str">
        <x:v>Observed Location</x:v>
      </x:c>
      <x:c r="E3" s="26" t="str">
        <x:v>Expected Status</x:v>
      </x:c>
      <x:c r="F3" s="26" t="str">
        <x:v>Observed Status</x:v>
      </x:c>
      <x:c r="G3" s="26" t="str">
        <x:v>Match?</x:v>
      </x:c>
      <x:c r="H3" s="26" t="str">
        <x:v>Action Required</x:v>
      </x:c>
      <x:c r="I3" s="26" t="str">
        <x:v>Checked By</x:v>
      </x:c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50" t="str">
        <x:v>AUD-001</x:v>
      </x:c>
      <x:c r="B4" s="50" t="str">
        <x:v>IT-1012</x:v>
      </x:c>
      <x:c r="C4" s="50" t="str">
        <x:v>Project Site A</x:v>
      </x:c>
      <x:c r="D4" s="50" t="str">
        <x:v>Project Site A</x:v>
      </x:c>
      <x:c r="E4" s="50" t="str">
        <x:v>In Stock</x:v>
      </x:c>
      <x:c r="F4" s="50" t="str">
        <x:v>In Stock</x:v>
      </x:c>
      <x:c r="G4" s="50" t="str">
        <x:f>IF(AND(C4=D4,E4=F4),"Yes","No")</x:f>
        <x:v>Yes</x:v>
      </x:c>
      <x:c r="H4" s="50" t="str">
        <x:f>IF(G4="Yes","None","Verify asset record / location")</x:f>
        <x:v>None</x:v>
      </x:c>
      <x:c r="I4" s="50" t="str">
        <x:v>Navid Rahman</x:v>
      </x:c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50" t="str">
        <x:v>AUD-002</x:v>
      </x:c>
      <x:c r="B5" s="50" t="str">
        <x:v>IT-1020</x:v>
      </x:c>
      <x:c r="C5" s="50" t="str">
        <x:v>Project Site C</x:v>
      </x:c>
      <x:c r="D5" s="50" t="str">
        <x:v>Winnipeg Office</x:v>
      </x:c>
      <x:c r="E5" s="50" t="str">
        <x:v>Assigned</x:v>
      </x:c>
      <x:c r="F5" s="50" t="str">
        <x:v>Assigned</x:v>
      </x:c>
      <x:c r="G5" s="50" t="str">
        <x:f>IF(AND(C5=D5,E5=F5),"Yes","No")</x:f>
        <x:v>No</x:v>
      </x:c>
      <x:c r="H5" s="50" t="str">
        <x:f>IF(G5="Yes","None","Verify asset record / location")</x:f>
        <x:v>Verify asset record / location</x:v>
      </x:c>
      <x:c r="I5" s="50" t="str">
        <x:v>Navid Rahman</x:v>
      </x:c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50" t="str">
        <x:v>AUD-003</x:v>
      </x:c>
      <x:c r="B6" s="50" t="str">
        <x:v>IT-1045</x:v>
      </x:c>
      <x:c r="C6" s="50" t="str">
        <x:v>Project Site C</x:v>
      </x:c>
      <x:c r="D6" s="50" t="str">
        <x:v>Project Site C</x:v>
      </x:c>
      <x:c r="E6" s="50" t="str">
        <x:v>In Stock</x:v>
      </x:c>
      <x:c r="F6" s="50" t="str">
        <x:v>In Stock</x:v>
      </x:c>
      <x:c r="G6" s="50" t="str">
        <x:f>IF(AND(C6=D6,E6=F6),"Yes","No")</x:f>
        <x:v>Yes</x:v>
      </x:c>
      <x:c r="H6" s="50" t="str">
        <x:f>IF(G6="Yes","None","Verify asset record / location")</x:f>
        <x:v>None</x:v>
      </x:c>
      <x:c r="I6" s="50" t="str">
        <x:v>Navid Rahman</x:v>
      </x:c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50" t="str">
        <x:v>AUD-004</x:v>
      </x:c>
      <x:c r="B7" s="50" t="str">
        <x:v>IT-1039</x:v>
      </x:c>
      <x:c r="C7" s="50" t="str">
        <x:v>Project Site C</x:v>
      </x:c>
      <x:c r="D7" s="50" t="str">
        <x:v>Project Site C</x:v>
      </x:c>
      <x:c r="E7" s="50" t="str">
        <x:v>Assigned</x:v>
      </x:c>
      <x:c r="F7" s="50" t="str">
        <x:v>Assigned</x:v>
      </x:c>
      <x:c r="G7" s="50" t="str">
        <x:f>IF(AND(C7=D7,E7=F7),"Yes","No")</x:f>
        <x:v>Yes</x:v>
      </x:c>
      <x:c r="H7" s="50" t="str">
        <x:f>IF(G7="Yes","None","Verify asset record / location")</x:f>
        <x:v>None</x:v>
      </x:c>
      <x:c r="I7" s="50" t="str">
        <x:v>Navid Rahman</x:v>
      </x:c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50" t="str">
        <x:v>AUD-005</x:v>
      </x:c>
      <x:c r="B8" s="50" t="str">
        <x:v>IT-1022</x:v>
      </x:c>
      <x:c r="C8" s="50" t="str">
        <x:v>Project Site A</x:v>
      </x:c>
      <x:c r="D8" s="50" t="str">
        <x:v>Project Site A</x:v>
      </x:c>
      <x:c r="E8" s="50" t="str">
        <x:v>In Stock</x:v>
      </x:c>
      <x:c r="F8" s="50" t="str">
        <x:v>In Stock</x:v>
      </x:c>
      <x:c r="G8" s="50" t="str">
        <x:f>IF(AND(C8=D8,E8=F8),"Yes","No")</x:f>
        <x:v>Yes</x:v>
      </x:c>
      <x:c r="H8" s="50" t="str">
        <x:f>IF(G8="Yes","None","Verify asset record / location")</x:f>
        <x:v>None</x:v>
      </x:c>
      <x:c r="I8" s="50" t="str">
        <x:v>Navid Rahman</x:v>
      </x:c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50" t="str">
        <x:v>AUD-006</x:v>
      </x:c>
      <x:c r="B9" s="50" t="str">
        <x:v>IT-1002</x:v>
      </x:c>
      <x:c r="C9" s="50" t="str">
        <x:v>Project Site A</x:v>
      </x:c>
      <x:c r="D9" s="50" t="str">
        <x:v>Project Site A</x:v>
      </x:c>
      <x:c r="E9" s="50" t="str">
        <x:v>Assigned</x:v>
      </x:c>
      <x:c r="F9" s="50" t="str">
        <x:v>Assigned</x:v>
      </x:c>
      <x:c r="G9" s="50" t="str">
        <x:f>IF(AND(C9=D9,E9=F9),"Yes","No")</x:f>
        <x:v>Yes</x:v>
      </x:c>
      <x:c r="H9" s="50" t="str">
        <x:f>IF(G9="Yes","None","Verify asset record / location")</x:f>
        <x:v>None</x:v>
      </x:c>
      <x:c r="I9" s="50" t="str">
        <x:v>Navid Rahman</x:v>
      </x:c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50" t="str">
        <x:v>AUD-007</x:v>
      </x:c>
      <x:c r="B10" s="50" t="str">
        <x:v>IT-1017</x:v>
      </x:c>
      <x:c r="C10" s="50" t="str">
        <x:v>Project Site C</x:v>
      </x:c>
      <x:c r="D10" s="50" t="str">
        <x:v>Project Site C</x:v>
      </x:c>
      <x:c r="E10" s="50" t="str">
        <x:v>In Stock</x:v>
      </x:c>
      <x:c r="F10" s="50" t="str">
        <x:v>In Stock</x:v>
      </x:c>
      <x:c r="G10" s="50" t="str">
        <x:f>IF(AND(C10=D10,E10=F10),"Yes","No")</x:f>
        <x:v>Yes</x:v>
      </x:c>
      <x:c r="H10" s="50" t="str">
        <x:f>IF(G10="Yes","None","Verify asset record / location")</x:f>
        <x:v>None</x:v>
      </x:c>
      <x:c r="I10" s="50" t="str">
        <x:v>Navid Rahman</x:v>
      </x:c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50" t="str">
        <x:v>AUD-008</x:v>
      </x:c>
      <x:c r="B11" s="50" t="str">
        <x:v>IT-1037</x:v>
      </x:c>
      <x:c r="C11" s="50" t="str">
        <x:v>Project Site C</x:v>
      </x:c>
      <x:c r="D11" s="50" t="str">
        <x:v>Project Site C</x:v>
      </x:c>
      <x:c r="E11" s="50" t="str">
        <x:v>In Stock</x:v>
      </x:c>
      <x:c r="F11" s="50" t="str">
        <x:v>In Stock</x:v>
      </x:c>
      <x:c r="G11" s="50" t="str">
        <x:f>IF(AND(C11=D11,E11=F11),"Yes","No")</x:f>
        <x:v>Yes</x:v>
      </x:c>
      <x:c r="H11" s="50" t="str">
        <x:f>IF(G11="Yes","None","Verify asset record / location")</x:f>
        <x:v>None</x:v>
      </x:c>
      <x:c r="I11" s="50" t="str">
        <x:v>Navid Rahman</x:v>
      </x:c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50" t="str">
        <x:v>AUD-009</x:v>
      </x:c>
      <x:c r="B12" s="50" t="str">
        <x:v>IT-1032</x:v>
      </x:c>
      <x:c r="C12" s="50" t="str">
        <x:v>Winnipeg Office</x:v>
      </x:c>
      <x:c r="D12" s="50" t="str">
        <x:v>Winnipeg Office</x:v>
      </x:c>
      <x:c r="E12" s="50" t="str">
        <x:v>Assigned</x:v>
      </x:c>
      <x:c r="F12" s="50" t="str">
        <x:v>Assigned</x:v>
      </x:c>
      <x:c r="G12" s="50" t="str">
        <x:f>IF(AND(C12=D12,E12=F12),"Yes","No")</x:f>
        <x:v>Yes</x:v>
      </x:c>
      <x:c r="H12" s="50" t="str">
        <x:f>IF(G12="Yes","None","Verify asset record / location")</x:f>
        <x:v>None</x:v>
      </x:c>
      <x:c r="I12" s="50" t="str">
        <x:v>Navid Rahman</x:v>
      </x:c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50" t="str">
        <x:v>AUD-010</x:v>
      </x:c>
      <x:c r="B13" s="50" t="str">
        <x:v>IT-1006</x:v>
      </x:c>
      <x:c r="C13" s="50" t="str">
        <x:v>Winnipeg Office</x:v>
      </x:c>
      <x:c r="D13" s="50" t="str">
        <x:v>Winnipeg Office</x:v>
      </x:c>
      <x:c r="E13" s="50" t="str">
        <x:v>In Stock</x:v>
      </x:c>
      <x:c r="F13" s="50" t="str">
        <x:v>In Stock</x:v>
      </x:c>
      <x:c r="G13" s="50" t="str">
        <x:f>IF(AND(C13=D13,E13=F13),"Yes","No")</x:f>
        <x:v>Yes</x:v>
      </x:c>
      <x:c r="H13" s="50" t="str">
        <x:f>IF(G13="Yes","None","Verify asset record / location")</x:f>
        <x:v>None</x:v>
      </x:c>
      <x:c r="I13" s="50" t="str">
        <x:v>Navid Rahman</x:v>
      </x:c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50" t="str">
        <x:v>AUD-011</x:v>
      </x:c>
      <x:c r="B14" s="50" t="str">
        <x:v>IT-1033</x:v>
      </x:c>
      <x:c r="C14" s="50" t="str">
        <x:v>Project Site A</x:v>
      </x:c>
      <x:c r="D14" s="50" t="str">
        <x:v>Project Site A</x:v>
      </x:c>
      <x:c r="E14" s="50" t="str">
        <x:v>In Stock</x:v>
      </x:c>
      <x:c r="F14" s="50" t="str">
        <x:v>In Stock</x:v>
      </x:c>
      <x:c r="G14" s="50" t="str">
        <x:f>IF(AND(C14=D14,E14=F14),"Yes","No")</x:f>
        <x:v>Yes</x:v>
      </x:c>
      <x:c r="H14" s="50" t="str">
        <x:f>IF(G14="Yes","None","Verify asset record / location")</x:f>
        <x:v>None</x:v>
      </x:c>
      <x:c r="I14" s="50" t="str">
        <x:v>Navid Rahman</x:v>
      </x:c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50" t="str">
        <x:v>AUD-012</x:v>
      </x:c>
      <x:c r="B15" s="50" t="str">
        <x:v>IT-1010</x:v>
      </x:c>
      <x:c r="C15" s="50" t="str">
        <x:v>Project Site A</x:v>
      </x:c>
      <x:c r="D15" s="50" t="str">
        <x:v>Project Site A</x:v>
      </x:c>
      <x:c r="E15" s="50" t="str">
        <x:v>Assigned</x:v>
      </x:c>
      <x:c r="F15" s="50" t="str">
        <x:v>Assigned</x:v>
      </x:c>
      <x:c r="G15" s="50" t="str">
        <x:f>IF(AND(C15=D15,E15=F15),"Yes","No")</x:f>
        <x:v>Yes</x:v>
      </x:c>
      <x:c r="H15" s="50" t="str">
        <x:f>IF(G15="Yes","None","Verify asset record / location")</x:f>
        <x:v>None</x:v>
      </x:c>
      <x:c r="I15" s="50" t="str">
        <x:v>Navid Rahman</x:v>
      </x:c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50" t="str">
        <x:v>AUD-013</x:v>
      </x:c>
      <x:c r="B16" s="50" t="str">
        <x:v>IT-1001</x:v>
      </x:c>
      <x:c r="C16" s="50" t="str">
        <x:v>Winnipeg Office</x:v>
      </x:c>
      <x:c r="D16" s="50" t="str">
        <x:v>Project Site C</x:v>
      </x:c>
      <x:c r="E16" s="50" t="str">
        <x:v>Assigned</x:v>
      </x:c>
      <x:c r="F16" s="50" t="str">
        <x:v>Assigned</x:v>
      </x:c>
      <x:c r="G16" s="50" t="str">
        <x:f>IF(AND(C16=D16,E16=F16),"Yes","No")</x:f>
        <x:v>No</x:v>
      </x:c>
      <x:c r="H16" s="50" t="str">
        <x:f>IF(G16="Yes","None","Verify asset record / location")</x:f>
        <x:v>Verify asset record / location</x:v>
      </x:c>
      <x:c r="I16" s="50" t="str">
        <x:v>Navid Rahman</x:v>
      </x:c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50" t="str">
        <x:v>AUD-014</x:v>
      </x:c>
      <x:c r="B17" s="50" t="str">
        <x:v>IT-1033</x:v>
      </x:c>
      <x:c r="C17" s="50" t="str">
        <x:v>Project Site C</x:v>
      </x:c>
      <x:c r="D17" s="50" t="str">
        <x:v>Project Site C</x:v>
      </x:c>
      <x:c r="E17" s="50" t="str">
        <x:v>In Stock</x:v>
      </x:c>
      <x:c r="F17" s="50" t="str">
        <x:v>In Stock</x:v>
      </x:c>
      <x:c r="G17" s="50" t="str">
        <x:f>IF(AND(C17=D17,E17=F17),"Yes","No")</x:f>
        <x:v>Yes</x:v>
      </x:c>
      <x:c r="H17" s="50" t="str">
        <x:f>IF(G17="Yes","None","Verify asset record / location")</x:f>
        <x:v>None</x:v>
      </x:c>
      <x:c r="I17" s="50" t="str">
        <x:v>Navid Rahman</x:v>
      </x:c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50" t="str">
        <x:v>AUD-015</x:v>
      </x:c>
      <x:c r="B18" s="50" t="str">
        <x:v>IT-1023</x:v>
      </x:c>
      <x:c r="C18" s="50" t="str">
        <x:v>Project Site A</x:v>
      </x:c>
      <x:c r="D18" s="50" t="str">
        <x:v>Project Site A</x:v>
      </x:c>
      <x:c r="E18" s="50" t="str">
        <x:v>In Stock</x:v>
      </x:c>
      <x:c r="F18" s="50" t="str">
        <x:v>In Stock</x:v>
      </x:c>
      <x:c r="G18" s="50" t="str">
        <x:f>IF(AND(C18=D18,E18=F18),"Yes","No")</x:f>
        <x:v>Yes</x:v>
      </x:c>
      <x:c r="H18" s="50" t="str">
        <x:f>IF(G18="Yes","None","Verify asset record / location")</x:f>
        <x:v>None</x:v>
      </x:c>
      <x:c r="I18" s="50" t="str">
        <x:v>Navid Rahman</x:v>
      </x:c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50" t="str">
        <x:v>AUD-016</x:v>
      </x:c>
      <x:c r="B19" s="50" t="str">
        <x:v>IT-1004</x:v>
      </x:c>
      <x:c r="C19" s="50" t="str">
        <x:v>Project Site B</x:v>
      </x:c>
      <x:c r="D19" s="50" t="str">
        <x:v>Project Site B</x:v>
      </x:c>
      <x:c r="E19" s="50" t="str">
        <x:v>Assigned</x:v>
      </x:c>
      <x:c r="F19" s="50" t="str">
        <x:v>Assigned</x:v>
      </x:c>
      <x:c r="G19" s="50" t="str">
        <x:f>IF(AND(C19=D19,E19=F19),"Yes","No")</x:f>
        <x:v>Yes</x:v>
      </x:c>
      <x:c r="H19" s="50" t="str">
        <x:f>IF(G19="Yes","None","Verify asset record / location")</x:f>
        <x:v>None</x:v>
      </x:c>
      <x:c r="I19" s="50" t="str">
        <x:v>Navid Rahman</x:v>
      </x:c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50" t="str">
        <x:v>AUD-017</x:v>
      </x:c>
      <x:c r="B20" s="50" t="str">
        <x:v>IT-1044</x:v>
      </x:c>
      <x:c r="C20" s="50" t="str">
        <x:v>Project Site A</x:v>
      </x:c>
      <x:c r="D20" s="50" t="str">
        <x:v>Project Site A</x:v>
      </x:c>
      <x:c r="E20" s="50" t="str">
        <x:v>In Stock</x:v>
      </x:c>
      <x:c r="F20" s="50" t="str">
        <x:v>In Stock</x:v>
      </x:c>
      <x:c r="G20" s="50" t="str">
        <x:f>IF(AND(C20=D20,E20=F20),"Yes","No")</x:f>
        <x:v>Yes</x:v>
      </x:c>
      <x:c r="H20" s="50" t="str">
        <x:f>IF(G20="Yes","None","Verify asset record / location")</x:f>
        <x:v>None</x:v>
      </x:c>
      <x:c r="I20" s="50" t="str">
        <x:v>Navid Rahman</x:v>
      </x:c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50" t="str">
        <x:v>AUD-018</x:v>
      </x:c>
      <x:c r="B21" s="50" t="str">
        <x:v>IT-1046</x:v>
      </x:c>
      <x:c r="C21" s="50" t="str">
        <x:v>Winnipeg Office</x:v>
      </x:c>
      <x:c r="D21" s="50" t="str">
        <x:v>Winnipeg Office</x:v>
      </x:c>
      <x:c r="E21" s="50" t="str">
        <x:v>Assigned</x:v>
      </x:c>
      <x:c r="F21" s="50" t="str">
        <x:v>Assigned</x:v>
      </x:c>
      <x:c r="G21" s="50" t="str">
        <x:f>IF(AND(C21=D21,E21=F21),"Yes","No")</x:f>
        <x:v>Yes</x:v>
      </x:c>
      <x:c r="H21" s="50" t="str">
        <x:f>IF(G21="Yes","None","Verify asset record / location")</x:f>
        <x:v>None</x:v>
      </x:c>
      <x:c r="I21" s="50" t="str">
        <x:v>Navid Rahman</x:v>
      </x:c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50" t="str">
        <x:v>AUD-019</x:v>
      </x:c>
      <x:c r="B22" s="50" t="str">
        <x:v>IT-1030</x:v>
      </x:c>
      <x:c r="C22" s="50" t="str">
        <x:v>Project Site A</x:v>
      </x:c>
      <x:c r="D22" s="50" t="str">
        <x:v>Project Site A</x:v>
      </x:c>
      <x:c r="E22" s="50" t="str">
        <x:v>Assigned</x:v>
      </x:c>
      <x:c r="F22" s="50" t="str">
        <x:v>Assigned</x:v>
      </x:c>
      <x:c r="G22" s="50" t="str">
        <x:f>IF(AND(C22=D22,E22=F22),"Yes","No")</x:f>
        <x:v>Yes</x:v>
      </x:c>
      <x:c r="H22" s="50" t="str">
        <x:f>IF(G22="Yes","None","Verify asset record / location")</x:f>
        <x:v>None</x:v>
      </x:c>
      <x:c r="I22" s="50" t="str">
        <x:v>Navid Rahman</x:v>
      </x:c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50" t="str">
        <x:v>AUD-020</x:v>
      </x:c>
      <x:c r="B23" s="50" t="str">
        <x:v>IT-1026</x:v>
      </x:c>
      <x:c r="C23" s="50" t="str">
        <x:v>Project Site A</x:v>
      </x:c>
      <x:c r="D23" s="50" t="str">
        <x:v>Project Site A</x:v>
      </x:c>
      <x:c r="E23" s="50" t="str">
        <x:v>Assigned</x:v>
      </x:c>
      <x:c r="F23" s="50" t="str">
        <x:v>Assigned</x:v>
      </x:c>
      <x:c r="G23" s="50" t="str">
        <x:f>IF(AND(C23=D23,E23=F23),"Yes","No")</x:f>
        <x:v>Yes</x:v>
      </x:c>
      <x:c r="H23" s="50" t="str">
        <x:f>IF(G23="Yes","None","Verify asset record / location")</x:f>
        <x:v>None</x:v>
      </x:c>
      <x:c r="I23" s="50" t="str">
        <x:v>Navid Rahman</x:v>
      </x:c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50" t="str">
        <x:v>AUD-021</x:v>
      </x:c>
      <x:c r="B24" s="50" t="str">
        <x:v>IT-1027</x:v>
      </x:c>
      <x:c r="C24" s="50" t="str">
        <x:v>Project Site C</x:v>
      </x:c>
      <x:c r="D24" s="50" t="str">
        <x:v>Project Site C</x:v>
      </x:c>
      <x:c r="E24" s="50" t="str">
        <x:v>Assigned</x:v>
      </x:c>
      <x:c r="F24" s="50" t="str">
        <x:v>Assigned</x:v>
      </x:c>
      <x:c r="G24" s="50" t="str">
        <x:f>IF(AND(C24=D24,E24=F24),"Yes","No")</x:f>
        <x:v>Yes</x:v>
      </x:c>
      <x:c r="H24" s="50" t="str">
        <x:f>IF(G24="Yes","None","Verify asset record / location")</x:f>
        <x:v>None</x:v>
      </x:c>
      <x:c r="I24" s="50" t="str">
        <x:v>Navid Rahman</x:v>
      </x:c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50" t="str">
        <x:v>AUD-022</x:v>
      </x:c>
      <x:c r="B25" s="50" t="str">
        <x:v>IT-1028</x:v>
      </x:c>
      <x:c r="C25" s="50" t="str">
        <x:v>Project Site C</x:v>
      </x:c>
      <x:c r="D25" s="50" t="str">
        <x:v>Project Site C</x:v>
      </x:c>
      <x:c r="E25" s="50" t="str">
        <x:v>Assigned</x:v>
      </x:c>
      <x:c r="F25" s="50" t="str">
        <x:v>Assigned</x:v>
      </x:c>
      <x:c r="G25" s="50" t="str">
        <x:f>IF(AND(C25=D25,E25=F25),"Yes","No")</x:f>
        <x:v>Yes</x:v>
      </x:c>
      <x:c r="H25" s="50" t="str">
        <x:f>IF(G25="Yes","None","Verify asset record / location")</x:f>
        <x:v>None</x:v>
      </x:c>
      <x:c r="I25" s="50" t="str">
        <x:v>Navid Rahman</x:v>
      </x:c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50" t="str">
        <x:v>AUD-023</x:v>
      </x:c>
      <x:c r="B26" s="50" t="str">
        <x:v>IT-1049</x:v>
      </x:c>
      <x:c r="C26" s="50" t="str">
        <x:v>Winnipeg Office</x:v>
      </x:c>
      <x:c r="D26" s="50" t="str">
        <x:v>Winnipeg Office</x:v>
      </x:c>
      <x:c r="E26" s="50" t="str">
        <x:v>In Stock</x:v>
      </x:c>
      <x:c r="F26" s="50" t="str">
        <x:v>In Stock</x:v>
      </x:c>
      <x:c r="G26" s="50" t="str">
        <x:f>IF(AND(C26=D26,E26=F26),"Yes","No")</x:f>
        <x:v>Yes</x:v>
      </x:c>
      <x:c r="H26" s="50" t="str">
        <x:f>IF(G26="Yes","None","Verify asset record / location")</x:f>
        <x:v>None</x:v>
      </x:c>
      <x:c r="I26" s="50" t="str">
        <x:v>Navid Rahman</x:v>
      </x:c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50" t="str">
        <x:v>AUD-024</x:v>
      </x:c>
      <x:c r="B27" s="50" t="str">
        <x:v>IT-1002</x:v>
      </x:c>
      <x:c r="C27" s="50" t="str">
        <x:v>Winnipeg Office</x:v>
      </x:c>
      <x:c r="D27" s="50" t="str">
        <x:v>Winnipeg Office</x:v>
      </x:c>
      <x:c r="E27" s="50" t="str">
        <x:v>Assigned</x:v>
      </x:c>
      <x:c r="F27" s="50" t="str">
        <x:v>Assigned</x:v>
      </x:c>
      <x:c r="G27" s="50" t="str">
        <x:f>IF(AND(C27=D27,E27=F27),"Yes","No")</x:f>
        <x:v>Yes</x:v>
      </x:c>
      <x:c r="H27" s="50" t="str">
        <x:f>IF(G27="Yes","None","Verify asset record / location")</x:f>
        <x:v>None</x:v>
      </x:c>
      <x:c r="I27" s="50" t="str">
        <x:v>Navid Rahman</x:v>
      </x:c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50" t="str">
        <x:v>AUD-025</x:v>
      </x:c>
      <x:c r="B28" s="50" t="str">
        <x:v>IT-1009</x:v>
      </x:c>
      <x:c r="C28" s="50" t="str">
        <x:v>Project Site B</x:v>
      </x:c>
      <x:c r="D28" s="50" t="str">
        <x:v>Project Site B</x:v>
      </x:c>
      <x:c r="E28" s="50" t="str">
        <x:v>Assigned</x:v>
      </x:c>
      <x:c r="F28" s="50" t="str">
        <x:v>Assigned</x:v>
      </x:c>
      <x:c r="G28" s="50" t="str">
        <x:f>IF(AND(C28=D28,E28=F28),"Yes","No")</x:f>
        <x:v>Yes</x:v>
      </x:c>
      <x:c r="H28" s="50" t="str">
        <x:f>IF(G28="Yes","None","Verify asset record / location")</x:f>
        <x:v>None</x:v>
      </x:c>
      <x:c r="I28" s="50" t="str">
        <x:v>Navid Rahman</x:v>
      </x:c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50" t="str">
        <x:v>AUD-026</x:v>
      </x:c>
      <x:c r="B29" s="50" t="str">
        <x:v>IT-1025</x:v>
      </x:c>
      <x:c r="C29" s="50" t="str">
        <x:v>Project Site A</x:v>
      </x:c>
      <x:c r="D29" s="50" t="str">
        <x:v>Project Site A</x:v>
      </x:c>
      <x:c r="E29" s="50" t="str">
        <x:v>Assigned</x:v>
      </x:c>
      <x:c r="F29" s="50" t="str">
        <x:v>Assigned</x:v>
      </x:c>
      <x:c r="G29" s="50" t="str">
        <x:f>IF(AND(C29=D29,E29=F29),"Yes","No")</x:f>
        <x:v>Yes</x:v>
      </x:c>
      <x:c r="H29" s="50" t="str">
        <x:f>IF(G29="Yes","None","Verify asset record / location")</x:f>
        <x:v>None</x:v>
      </x:c>
      <x:c r="I29" s="50" t="str">
        <x:v>Navid Rahman</x:v>
      </x:c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50" t="str">
        <x:v>AUD-027</x:v>
      </x:c>
      <x:c r="B30" s="50" t="str">
        <x:v>IT-1034</x:v>
      </x:c>
      <x:c r="C30" s="50" t="str">
        <x:v>Project Site B</x:v>
      </x:c>
      <x:c r="D30" s="50" t="str">
        <x:v>Project Site B</x:v>
      </x:c>
      <x:c r="E30" s="50" t="str">
        <x:v>In Stock</x:v>
      </x:c>
      <x:c r="F30" s="50" t="str">
        <x:v>In Stock</x:v>
      </x:c>
      <x:c r="G30" s="50" t="str">
        <x:f>IF(AND(C30=D30,E30=F30),"Yes","No")</x:f>
        <x:v>Yes</x:v>
      </x:c>
      <x:c r="H30" s="50" t="str">
        <x:f>IF(G30="Yes","None","Verify asset record / location")</x:f>
        <x:v>None</x:v>
      </x:c>
      <x:c r="I30" s="50" t="str">
        <x:v>Navid Rahman</x:v>
      </x:c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50" t="str">
        <x:v>AUD-028</x:v>
      </x:c>
      <x:c r="B31" s="50" t="str">
        <x:v>IT-1049</x:v>
      </x:c>
      <x:c r="C31" s="50" t="str">
        <x:v>Project Site A</x:v>
      </x:c>
      <x:c r="D31" s="50" t="str">
        <x:v>Project Site A</x:v>
      </x:c>
      <x:c r="E31" s="50" t="str">
        <x:v>In Stock</x:v>
      </x:c>
      <x:c r="F31" s="50" t="str">
        <x:v>In Stock</x:v>
      </x:c>
      <x:c r="G31" s="50" t="str">
        <x:f>IF(AND(C31=D31,E31=F31),"Yes","No")</x:f>
        <x:v>Yes</x:v>
      </x:c>
      <x:c r="H31" s="50" t="str">
        <x:f>IF(G31="Yes","None","Verify asset record / location")</x:f>
        <x:v>None</x:v>
      </x:c>
      <x:c r="I31" s="50" t="str">
        <x:v>Navid Rahman</x:v>
      </x:c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50" t="str">
        <x:v>AUD-029</x:v>
      </x:c>
      <x:c r="B32" s="50" t="str">
        <x:v>IT-1035</x:v>
      </x:c>
      <x:c r="C32" s="50" t="str">
        <x:v>Project Site B</x:v>
      </x:c>
      <x:c r="D32" s="50" t="str">
        <x:v>Project Site B</x:v>
      </x:c>
      <x:c r="E32" s="50" t="str">
        <x:v>In Stock</x:v>
      </x:c>
      <x:c r="F32" s="50" t="str">
        <x:v>In Stock</x:v>
      </x:c>
      <x:c r="G32" s="50" t="str">
        <x:f>IF(AND(C32=D32,E32=F32),"Yes","No")</x:f>
        <x:v>Yes</x:v>
      </x:c>
      <x:c r="H32" s="50" t="str">
        <x:f>IF(G32="Yes","None","Verify asset record / location")</x:f>
        <x:v>None</x:v>
      </x:c>
      <x:c r="I32" s="50" t="str">
        <x:v>Navid Rahman</x:v>
      </x:c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50" t="str">
        <x:v>AUD-030</x:v>
      </x:c>
      <x:c r="B33" s="50" t="str">
        <x:v>IT-1005</x:v>
      </x:c>
      <x:c r="C33" s="50" t="str">
        <x:v>Project Site B</x:v>
      </x:c>
      <x:c r="D33" s="50" t="str">
        <x:v>Project Site B</x:v>
      </x:c>
      <x:c r="E33" s="50" t="str">
        <x:v>Assigned</x:v>
      </x:c>
      <x:c r="F33" s="50" t="str">
        <x:v>Assigned</x:v>
      </x:c>
      <x:c r="G33" s="50" t="str">
        <x:f>IF(AND(C33=D33,E33=F33),"Yes","No")</x:f>
        <x:v>Yes</x:v>
      </x:c>
      <x:c r="H33" s="50" t="str">
        <x:f>IF(G33="Yes","None","Verify asset record / location")</x:f>
        <x:v>None</x:v>
      </x:c>
      <x:c r="I33" s="50" t="str">
        <x:v>Navid Rahman</x:v>
      </x:c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</x:sheetData>
  <x:mergeCells>
    <x:mergeCell ref="A1:I1"/>
  </x:mergeCells>
  <x:conditionalFormatting sqref="G4:G33">
    <x:cfRule type="expression" dxfId="7" priority="1">
      <x:formula>G4="No"</x:formula>
    </x:cfRule>
    <x:cfRule type="expression" dxfId="8" priority="2">
      <x:formula>G4="Yes"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8" hidden="0" customWidth="1"/>
    <x:col min="4" max="4" width="27" hidden="0" customWidth="1"/>
    <x:col min="5" max="5" width="10" hidden="0" customWidth="1"/>
    <x:col min="6" max="6" width="24" hidden="0" customWidth="1"/>
    <x:col min="7" max="7" width="25" hidden="0" customWidth="1"/>
    <x:col min="8" max="8" width="25" hidden="0" customWidth="1"/>
    <x:col min="9" max="9" width="12" hidden="0" customWidth="1"/>
    <x:col min="10" max="10" width="16" hidden="0" customWidth="1"/>
  </x:cols>
  <x:sheetData>
    <x:row r="1">
      <x:c r="A1" s="5" t="str">
        <x:v>IT System Change Log</x:v>
      </x:c>
      <x:c r="B1" s="5"/>
      <x:c r="C1" s="5"/>
      <x:c r="D1" s="5"/>
      <x:c r="E1" s="5"/>
      <x:c r="F1" s="5"/>
      <x:c r="G1" s="5"/>
      <x:c r="H1" s="5"/>
      <x:c r="I1" s="5"/>
      <x:c r="J1" s="5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26" t="str">
        <x:v>Change ID</x:v>
      </x:c>
      <x:c r="B3" s="26" t="str">
        <x:v>Date</x:v>
      </x:c>
      <x:c r="C3" s="26" t="str">
        <x:v>Location</x:v>
      </x:c>
      <x:c r="D3" s="26" t="str">
        <x:v>Change</x:v>
      </x:c>
      <x:c r="E3" s="26" t="str">
        <x:v>Risk</x:v>
      </x:c>
      <x:c r="F3" s="26" t="str">
        <x:v>Communication</x:v>
      </x:c>
      <x:c r="G3" s="26" t="str">
        <x:v>Validation</x:v>
      </x:c>
      <x:c r="H3" s="26" t="str">
        <x:v>Rollback</x:v>
      </x:c>
      <x:c r="I3" s="26" t="str">
        <x:v>Status</x:v>
      </x:c>
      <x:c r="J3" s="26" t="str">
        <x:v>Owner</x:v>
      </x:c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50" t="str">
        <x:v>CHG-001</x:v>
      </x:c>
      <x:c r="B4" s="58" t="n">
        <x:v>46395</x:v>
      </x:c>
      <x:c r="C4" s="50" t="str">
        <x:v>Winnipeg Office</x:v>
      </x:c>
      <x:c r="D4" s="50" t="str">
        <x:v>Deploy Windows updates</x:v>
      </x:c>
      <x:c r="E4" s="50" t="str">
        <x:v>Low</x:v>
      </x:c>
      <x:c r="F4" s="50" t="str">
        <x:v>Email notice</x:v>
      </x:c>
      <x:c r="G4" s="50" t="str">
        <x:v>Boot/login/app checks</x:v>
      </x:c>
      <x:c r="H4" s="50" t="str">
        <x:v>Remove update if needed</x:v>
      </x:c>
      <x:c r="I4" s="50" t="str">
        <x:v>Complete</x:v>
      </x:c>
      <x:c r="J4" s="50" t="str">
        <x:v>IT Support</x:v>
      </x:c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50" t="str">
        <x:v>CHG-002</x:v>
      </x:c>
      <x:c r="B5" s="58" t="n">
        <x:v>46397</x:v>
      </x:c>
      <x:c r="C5" s="50" t="str">
        <x:v>Project Site A</x:v>
      </x:c>
      <x:c r="D5" s="50" t="str">
        <x:v>Replace network printer</x:v>
      </x:c>
      <x:c r="E5" s="50" t="str">
        <x:v>Low</x:v>
      </x:c>
      <x:c r="F5" s="50" t="str">
        <x:v>Site lead notified</x:v>
      </x:c>
      <x:c r="G5" s="50" t="str">
        <x:v>Print test</x:v>
      </x:c>
      <x:c r="H5" s="50" t="str">
        <x:v>Reconnect previous device</x:v>
      </x:c>
      <x:c r="I5" s="50" t="str">
        <x:v>Complete</x:v>
      </x:c>
      <x:c r="J5" s="50" t="str">
        <x:v>IT Support</x:v>
      </x:c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50" t="str">
        <x:v>CHG-003</x:v>
      </x:c>
      <x:c r="B6" s="58" t="n">
        <x:v>46399</x:v>
      </x:c>
      <x:c r="C6" s="50" t="str">
        <x:v>Project Site B</x:v>
      </x:c>
      <x:c r="D6" s="50" t="str">
        <x:v>Laptop refresh batch</x:v>
      </x:c>
      <x:c r="E6" s="50" t="str">
        <x:v>Medium</x:v>
      </x:c>
      <x:c r="F6" s="50" t="str">
        <x:v>Users scheduled</x:v>
      </x:c>
      <x:c r="G6" s="50" t="str">
        <x:v>Login/M365/network tests</x:v>
      </x:c>
      <x:c r="H6" s="50" t="str">
        <x:v>Return previous laptops</x:v>
      </x:c>
      <x:c r="I6" s="50" t="str">
        <x:v>Complete</x:v>
      </x:c>
      <x:c r="J6" s="50" t="str">
        <x:v>IT Support</x:v>
      </x:c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50" t="str">
        <x:v>CHG-004</x:v>
      </x:c>
      <x:c r="B7" s="58" t="n">
        <x:v>46402</x:v>
      </x:c>
      <x:c r="C7" s="50" t="str">
        <x:v>Winnipeg Office</x:v>
      </x:c>
      <x:c r="D7" s="50" t="str">
        <x:v>Approved software deployment</x:v>
      </x:c>
      <x:c r="E7" s="50" t="str">
        <x:v>Medium</x:v>
      </x:c>
      <x:c r="F7" s="50" t="str">
        <x:v>Department notified</x:v>
      </x:c>
      <x:c r="G7" s="50" t="str">
        <x:v>Launch/version test</x:v>
      </x:c>
      <x:c r="H7" s="50" t="str">
        <x:v>Uninstall package</x:v>
      </x:c>
      <x:c r="I7" s="50" t="str">
        <x:v>Complete</x:v>
      </x:c>
      <x:c r="J7" s="50" t="str">
        <x:v>Systems Admin</x:v>
      </x:c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50" t="str">
        <x:v>CHG-005</x:v>
      </x:c>
      <x:c r="B8" s="58" t="n">
        <x:v>46405</x:v>
      </x:c>
      <x:c r="C8" s="50" t="str">
        <x:v>Project Site C</x:v>
      </x:c>
      <x:c r="D8" s="50" t="str">
        <x:v>Dock firmware update</x:v>
      </x:c>
      <x:c r="E8" s="50" t="str">
        <x:v>Low</x:v>
      </x:c>
      <x:c r="F8" s="50" t="str">
        <x:v>Users notified</x:v>
      </x:c>
      <x:c r="G8" s="50" t="str">
        <x:v>Display/network test</x:v>
      </x:c>
      <x:c r="H8" s="50" t="str">
        <x:v>Revert firmware</x:v>
      </x:c>
      <x:c r="I8" s="50" t="str">
        <x:v>Planned</x:v>
      </x:c>
      <x:c r="J8" s="50" t="str">
        <x:v>IT Support</x:v>
      </x:c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50" t="str">
        <x:v>CHG-006</x:v>
      </x:c>
      <x:c r="B9" s="58" t="n">
        <x:v>46407</x:v>
      </x:c>
      <x:c r="C9" s="50" t="str">
        <x:v>Winnipeg Office</x:v>
      </x:c>
      <x:c r="D9" s="50" t="str">
        <x:v>Printer driver update</x:v>
      </x:c>
      <x:c r="E9" s="50" t="str">
        <x:v>Low</x:v>
      </x:c>
      <x:c r="F9" s="50" t="str">
        <x:v>Help desk notice</x:v>
      </x:c>
      <x:c r="G9" s="50" t="str">
        <x:v>Print test</x:v>
      </x:c>
      <x:c r="H9" s="50" t="str">
        <x:v>Restore old driver</x:v>
      </x:c>
      <x:c r="I9" s="50" t="str">
        <x:v>Planned</x:v>
      </x:c>
      <x:c r="J9" s="50" t="str">
        <x:v>IT Support</x:v>
      </x:c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50" t="str">
        <x:v>CHG-007</x:v>
      </x:c>
      <x:c r="B10" s="58" t="n">
        <x:v>46410</x:v>
      </x:c>
      <x:c r="C10" s="50" t="str">
        <x:v>Project Site A</x:v>
      </x:c>
      <x:c r="D10" s="50" t="str">
        <x:v>Workstation replacement</x:v>
      </x:c>
      <x:c r="E10" s="50" t="str">
        <x:v>Medium</x:v>
      </x:c>
      <x:c r="F10" s="50" t="str">
        <x:v>Site lead notified</x:v>
      </x:c>
      <x:c r="G10" s="50" t="str">
        <x:v>User acceptance test</x:v>
      </x:c>
      <x:c r="H10" s="50" t="str">
        <x:v>Restore prior device</x:v>
      </x:c>
      <x:c r="I10" s="50" t="str">
        <x:v>Planned</x:v>
      </x:c>
      <x:c r="J10" s="50" t="str">
        <x:v>IT Support</x:v>
      </x:c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50" t="str">
        <x:v>CHG-008</x:v>
      </x:c>
      <x:c r="B11" s="58" t="n">
        <x:v>46413</x:v>
      </x:c>
      <x:c r="C11" s="50" t="str">
        <x:v>Project Site B</x:v>
      </x:c>
      <x:c r="D11" s="50" t="str">
        <x:v>M365 profile repair batch</x:v>
      </x:c>
      <x:c r="E11" s="50" t="str">
        <x:v>Low</x:v>
      </x:c>
      <x:c r="F11" s="50" t="str">
        <x:v>Affected users notified</x:v>
      </x:c>
      <x:c r="G11" s="50" t="str">
        <x:v>Sign-in/Outlook test</x:v>
      </x:c>
      <x:c r="H11" s="50" t="str">
        <x:v>Restore profile backup</x:v>
      </x:c>
      <x:c r="I11" s="50" t="str">
        <x:v>Complete</x:v>
      </x:c>
      <x:c r="J11" s="50" t="str">
        <x:v>IT Support</x:v>
      </x:c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</x:sheetData>
  <x:mergeCells>
    <x:mergeCell ref="A1:J1"/>
  </x:mergeCells>
  <x:conditionalFormatting sqref="I4:I11">
    <x:cfRule type="expression" dxfId="9" priority="1">
      <x:formula>I4="Complete"</x:formula>
    </x:cfRule>
    <x:cfRule type="expression" dxfId="10" priority="2">
      <x:formula>I4="Planned"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3" hidden="0" customWidth="1"/>
    <x:col min="3" max="3" width="27" hidden="0" customWidth="1"/>
    <x:col min="4" max="4" width="40" hidden="0" customWidth="1"/>
    <x:col min="5" max="5" width="38" hidden="0" customWidth="1"/>
    <x:col min="6" max="6" width="32" hidden="0" customWidth="1"/>
    <x:col min="7" max="7" width="24" hidden="0" customWidth="1"/>
  </x:cols>
  <x:sheetData>
    <x:row r="1">
      <x:c r="A1" s="5" t="str">
        <x:v>IT Support Knowledge Base</x:v>
      </x:c>
      <x:c r="B1" s="5"/>
      <x:c r="C1" s="5"/>
      <x:c r="D1" s="5"/>
      <x:c r="E1" s="5"/>
      <x:c r="F1" s="5"/>
      <x:c r="G1" s="5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26" t="str">
        <x:v>KB ID</x:v>
      </x:c>
      <x:c r="B3" s="26" t="str">
        <x:v>Topic</x:v>
      </x:c>
      <x:c r="C3" s="26" t="str">
        <x:v>Symptoms</x:v>
      </x:c>
      <x:c r="D3" s="26" t="str">
        <x:v>Checks</x:v>
      </x:c>
      <x:c r="E3" s="26" t="str">
        <x:v>Resolution</x:v>
      </x:c>
      <x:c r="F3" s="26" t="str">
        <x:v>Escalate When</x:v>
      </x:c>
      <x:c r="G3" s="26" t="str">
        <x:v>Keywords</x:v>
      </x:c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50" t="str">
        <x:v>KB-001</x:v>
      </x:c>
      <x:c r="B4" s="50" t="str">
        <x:v>No network connection</x:v>
      </x:c>
      <x:c r="C4" s="50" t="str">
        <x:v>No internet / server access</x:v>
      </x:c>
      <x:c r="D4" s="50" t="str">
        <x:v>Check cable/Wi-Fi, ipconfig, gateway ping, DNS</x:v>
      </x:c>
      <x:c r="E4" s="50" t="str">
        <x:v>Renew addressing or correct local connectivity</x:v>
      </x:c>
      <x:c r="F4" s="50" t="str">
        <x:v>Multiple users/site affected</x:v>
      </x:c>
      <x:c r="G4" s="50" t="str">
        <x:v>TCP/IP DHCP DNS</x:v>
      </x:c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50" t="str">
        <x:v>KB-002</x:v>
      </x:c>
      <x:c r="B5" s="50" t="str">
        <x:v>Microsoft 365 sign-in</x:v>
      </x:c>
      <x:c r="C5" s="50" t="str">
        <x:v>Repeated sign-in prompts</x:v>
      </x:c>
      <x:c r="D5" s="50" t="str">
        <x:v>Internet, time sync, account status, profile</x:v>
      </x:c>
      <x:c r="E5" s="50" t="str">
        <x:v>Repair sign-in/profile and retest</x:v>
      </x:c>
      <x:c r="F5" s="50" t="str">
        <x:v>Account or tenant issue suspected</x:v>
      </x:c>
      <x:c r="G5" s="50" t="str">
        <x:v>M365 Outlook authentication</x:v>
      </x:c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50" t="str">
        <x:v>KB-003</x:v>
      </x:c>
      <x:c r="B6" s="50" t="str">
        <x:v>Printer unavailable</x:v>
      </x:c>
      <x:c r="C6" s="50" t="str">
        <x:v>Printer offline / queue stuck</x:v>
      </x:c>
      <x:c r="D6" s="50" t="str">
        <x:v>Power, network, queue, driver</x:v>
      </x:c>
      <x:c r="E6" s="50" t="str">
        <x:v>Clear queue, reconnect, reinstall approved driver</x:v>
      </x:c>
      <x:c r="F6" s="50" t="str">
        <x:v>Shared printer / network issue</x:v>
      </x:c>
      <x:c r="G6" s="50" t="str">
        <x:v>printer driver queue</x:v>
      </x:c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50" t="str">
        <x:v>KB-004</x:v>
      </x:c>
      <x:c r="B7" s="50" t="str">
        <x:v>Slow workstation</x:v>
      </x:c>
      <x:c r="C7" s="50" t="str">
        <x:v>User reports poor performance</x:v>
      </x:c>
      <x:c r="D7" s="50" t="str">
        <x:v>Disk, memory, startup, updates, event logs</x:v>
      </x:c>
      <x:c r="E7" s="50" t="str">
        <x:v>Free space, restart, patch or escalate hardware</x:v>
      </x:c>
      <x:c r="F7" s="50" t="str">
        <x:v>Hardware errors or repeated failures</x:v>
      </x:c>
      <x:c r="G7" s="50" t="str">
        <x:v>Windows performance hardware</x:v>
      </x:c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50" t="str">
        <x:v>KB-005</x:v>
      </x:c>
      <x:c r="B8" s="50" t="str">
        <x:v>Dock / monitor issue</x:v>
      </x:c>
      <x:c r="C8" s="50" t="str">
        <x:v>No display or peripherals</x:v>
      </x:c>
      <x:c r="D8" s="50" t="str">
        <x:v>Cable, power, dock firmware, alternate port</x:v>
      </x:c>
      <x:c r="E8" s="50" t="str">
        <x:v>Reconnect, update or replace dock/cable</x:v>
      </x:c>
      <x:c r="F8" s="50" t="str">
        <x:v>Multiple docks or hardware faults</x:v>
      </x:c>
      <x:c r="G8" s="50" t="str">
        <x:v>dock display peripheral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50" t="str">
        <x:v>KB-006</x:v>
      </x:c>
      <x:c r="B9" s="50" t="str">
        <x:v>Software install request</x:v>
      </x:c>
      <x:c r="C9" s="50" t="str">
        <x:v>Approved app missing</x:v>
      </x:c>
      <x:c r="D9" s="50" t="str">
        <x:v>Approval, version, prerequisites</x:v>
      </x:c>
      <x:c r="E9" s="50" t="str">
        <x:v>Install approved package and validate</x:v>
      </x:c>
      <x:c r="F9" s="50" t="str">
        <x:v>Admin packaging required</x:v>
      </x:c>
      <x:c r="G9" s="50" t="str">
        <x:v>software deployment</x:v>
      </x:c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48"/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/>
      <x:c r="B11" s="48"/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/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5" t="str">
        <x:v>IT Support Operations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60" t="str">
        <x:v>Total Tickets</x:v>
      </x:c>
      <x:c r="B3" s="60"/>
      <x:c r="C3" s="48"/>
      <x:c r="D3" s="60" t="str">
        <x:v>Resolved %</x:v>
      </x:c>
      <x:c r="E3" s="60"/>
      <x:c r="F3" s="48"/>
      <x:c r="G3" s="60" t="str">
        <x:v>First Contact %</x:v>
      </x:c>
      <x:c r="H3" s="60"/>
      <x:c r="I3" s="48"/>
      <x:c r="J3" s="60" t="str">
        <x:v>Avg Resolution (min)</x:v>
      </x:c>
      <x:c r="K3" s="60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61" t="n">
        <x:f>COUNTA('Support Tickets'!A4:A83)</x:f>
        <x:v>80</x:v>
      </x:c>
      <x:c r="B4" s="61"/>
      <x:c r="C4" s="48"/>
      <x:c r="D4" s="62" t="n">
        <x:f>COUNTIF('Support Tickets'!J4:J83,"Resolved")/COUNTA('Support Tickets'!J4:J83)</x:f>
        <x:v>0.675</x:v>
      </x:c>
      <x:c r="E4" s="62"/>
      <x:c r="F4" s="48"/>
      <x:c r="G4" s="62" t="n">
        <x:f>COUNTIF('Support Tickets'!L4:L83,"Yes")/COUNTA('Support Tickets'!L4:L83)</x:f>
        <x:v>0.8</x:v>
      </x:c>
      <x:c r="H4" s="62"/>
      <x:c r="I4" s="48"/>
      <x:c r="J4" s="63" t="n">
        <x:f>AVERAGEIF('Support Tickets'!K4:K83,"&gt;0",'Support Tickets'!K4:K83)</x:f>
        <x:v>89.12676056338029</x:v>
      </x:c>
      <x:c r="K4" s="63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48"/>
      <x:c r="B5" s="48"/>
      <x:c r="C5" s="48"/>
      <x:c r="D5" s="48"/>
      <x:c r="E5" s="48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60" t="str">
        <x:v>Assets Tracked</x:v>
      </x:c>
      <x:c r="B6" s="60"/>
      <x:c r="C6" s="48"/>
      <x:c r="D6" s="60" t="str">
        <x:v>Deployments Complete</x:v>
      </x:c>
      <x:c r="E6" s="60"/>
      <x:c r="F6" s="48"/>
      <x:c r="G6" s="60" t="str">
        <x:v>Audit Match %</x:v>
      </x:c>
      <x:c r="H6" s="60"/>
      <x:c r="I6" s="48"/>
      <x:c r="J6" s="60" t="str">
        <x:v>Open/Planned Changes</x:v>
      </x:c>
      <x:c r="K6" s="60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61" t="n">
        <x:f>COUNTA('Asset Inventory'!A4:A53)</x:f>
        <x:v>50</x:v>
      </x:c>
      <x:c r="B7" s="61"/>
      <x:c r="C7" s="48"/>
      <x:c r="D7" s="61" t="n">
        <x:f>COUNTIF('Deployment Tracker'!L4:L23,"Complete")</x:f>
        <x:v>1</x:v>
      </x:c>
      <x:c r="E7" s="61"/>
      <x:c r="F7" s="48"/>
      <x:c r="G7" s="62" t="n">
        <x:f>COUNTIF('Equipment Audit'!G4:G33,"Yes")/COUNTA('Equipment Audit'!G4:G33)</x:f>
        <x:v>0.9333333333333333</x:v>
      </x:c>
      <x:c r="H7" s="62"/>
      <x:c r="I7" s="48"/>
      <x:c r="J7" s="61" t="n">
        <x:f>COUNTIF('Change Log'!I4:I11,"Planned")</x:f>
        <x:v>3</x:v>
      </x:c>
      <x:c r="K7" s="61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48"/>
      <x:c r="B8" s="48"/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18" t="str">
        <x:v>Ticket Category</x:v>
      </x:c>
      <x:c r="B10" s="18" t="str">
        <x:v>Count</x:v>
      </x:c>
      <x:c r="C10" s="48"/>
      <x:c r="D10" s="48"/>
      <x:c r="E10" s="18" t="str">
        <x:v>Location</x:v>
      </x:c>
      <x:c r="F10" s="18" t="str">
        <x:v>Tickets</x:v>
      </x:c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48" t="str">
        <x:v>Microsoft 365</x:v>
      </x:c>
      <x:c r="B11" s="48" t="n">
        <x:f>COUNTIF('Support Tickets'!$G$4:$G$83,A11)</x:f>
        <x:v>7</x:v>
      </x:c>
      <x:c r="C11" s="48"/>
      <x:c r="D11" s="48"/>
      <x:c r="E11" s="48" t="str">
        <x:v>Winnipeg Office</x:v>
      </x:c>
      <x:c r="F11" s="48" t="n">
        <x:f>COUNTIF('Support Tickets'!$C$4:$C$83,E11)</x:f>
        <x:v>24</x:v>
      </x:c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48" t="str">
        <x:v>Network Connectivity</x:v>
      </x:c>
      <x:c r="B12" s="48" t="n">
        <x:f>COUNTIF('Support Tickets'!$G$4:$G$83,A12)</x:f>
        <x:v>7</x:v>
      </x:c>
      <x:c r="C12" s="48"/>
      <x:c r="D12" s="48"/>
      <x:c r="E12" s="48" t="str">
        <x:v>Project Site A</x:v>
      </x:c>
      <x:c r="F12" s="48" t="n">
        <x:f>COUNTIF('Support Tickets'!$C$4:$C$83,E12)</x:f>
        <x:v>18</x:v>
      </x:c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 t="str">
        <x:v>Hardware</x:v>
      </x:c>
      <x:c r="B13" s="48" t="n">
        <x:f>COUNTIF('Support Tickets'!$G$4:$G$83,A13)</x:f>
        <x:v>8</x:v>
      </x:c>
      <x:c r="C13" s="48"/>
      <x:c r="D13" s="48"/>
      <x:c r="E13" s="48" t="str">
        <x:v>Project Site B</x:v>
      </x:c>
      <x:c r="F13" s="48" t="n">
        <x:f>COUNTIF('Support Tickets'!$C$4:$C$83,E13)</x:f>
        <x:v>21</x:v>
      </x:c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 t="str">
        <x:v>Printer</x:v>
      </x:c>
      <x:c r="B14" s="48" t="n">
        <x:f>COUNTIF('Support Tickets'!$G$4:$G$83,A14)</x:f>
        <x:v>7</x:v>
      </x:c>
      <x:c r="C14" s="48"/>
      <x:c r="D14" s="48"/>
      <x:c r="E14" s="48" t="str">
        <x:v>Project Site C</x:v>
      </x:c>
      <x:c r="F14" s="48" t="n">
        <x:f>COUNTIF('Support Tickets'!$C$4:$C$83,E14)</x:f>
        <x:v>17</x:v>
      </x:c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 t="str">
        <x:v>Login / Access</x:v>
      </x:c>
      <x:c r="B15" s="48" t="n">
        <x:f>COUNTIF('Support Tickets'!$G$4:$G$83,A15)</x:f>
        <x:v>13</x:v>
      </x:c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 t="str">
        <x:v>Windows</x:v>
      </x:c>
      <x:c r="B16" s="48" t="n">
        <x:f>COUNTIF('Support Tickets'!$G$4:$G$83,A16)</x:f>
        <x:v>16</x:v>
      </x:c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 t="str">
        <x:v>Software Install</x:v>
      </x:c>
      <x:c r="B17" s="48" t="n">
        <x:f>COUNTIF('Support Tickets'!$G$4:$G$83,A17)</x:f>
        <x:v>12</x:v>
      </x:c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 t="str">
        <x:v>Peripheral / Dock</x:v>
      </x:c>
      <x:c r="B18" s="48" t="n">
        <x:f>COUNTIF('Support Tickets'!$G$4:$G$83,A18)</x:f>
        <x:v>10</x:v>
      </x:c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9" t="str">
        <x:v>Operational Takeaway</x:v>
      </x:c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50" t="str">
        <x:v>This simulated lab connects support-call logging, endpoint troubleshooting, equipment control, hardware deployment, change coordination, and process documentation into one repeatable IT operations workflow.</x:v>
      </x:c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  <x:c r="L38" s="50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</x:sheetData>
  <x:mergeCells>
    <x:mergeCell ref="A1:L1"/>
    <x:mergeCell ref="A3:B3"/>
    <x:mergeCell ref="A4:B4"/>
    <x:mergeCell ref="D3:E3"/>
    <x:mergeCell ref="D4:E4"/>
    <x:mergeCell ref="G3:H3"/>
    <x:mergeCell ref="G4:H4"/>
    <x:mergeCell ref="J3:K3"/>
    <x:mergeCell ref="J4:K4"/>
    <x:mergeCell ref="A6:B6"/>
    <x:mergeCell ref="A7:B7"/>
    <x:mergeCell ref="D6:E6"/>
    <x:mergeCell ref="D7:E7"/>
    <x:mergeCell ref="G6:H6"/>
    <x:mergeCell ref="G7:H7"/>
    <x:mergeCell ref="J6:K6"/>
    <x:mergeCell ref="J7:K7"/>
    <x:mergeCell ref="A36:L36"/>
    <x:mergeCell ref="A37:L39"/>
  </x:mergeCells>
  <x:pageMargins left="0.7" right="0.7" top="0.75" bottom="0.75" header="0.3" footer="0.3"/>
  <x:drawing xmlns:r="http://schemas.openxmlformats.org/officeDocument/2006/relationships" r:id="R74c9776637c24b3b"/>
</x:worksheet>
</file>